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W control vs CSDS" sheetId="2" state="visible" r:id="rId4"/>
    <sheet name="BAT control vs CMVS" sheetId="3" state="visible" r:id="rId5"/>
    <sheet name="BAT control vs CSDS" sheetId="4" state="visible" r:id="rId6"/>
    <sheet name="scW control vs CMVS" sheetId="5" state="visible" r:id="rId7"/>
  </sheets>
  <definedNames>
    <definedName function="false" hidden="true" localSheetId="2" name="_xlnm._FilterDatabase" vbProcedure="false">'BAT control vs CMVS'!$A$6:$V$307</definedName>
    <definedName function="false" hidden="true" localSheetId="3" name="_xlnm._FilterDatabase" vbProcedure="false">'BAT control vs CSDS'!$A$6:$V$307</definedName>
    <definedName function="false" hidden="true" localSheetId="4" name="_xlnm._FilterDatabase" vbProcedure="false">'scW control vs CMVS'!$A$6:$V$307</definedName>
    <definedName function="false" hidden="true" localSheetId="1" name="_xlnm._FilterDatabase" vbProcedure="false">'scW control vs CSDS'!$A$6:$V$307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<sst xmlns="http://schemas.openxmlformats.org/spreadsheetml/2006/main" count="2766" uniqueCount="422">
  <si>
    <t xml:space="preserve">VIP scores and p-values by contrast — summary</t>
  </si>
  <si>
    <t xml:space="preserve">Untargeted LC-MS, 301 confidently annotated (L1/L2) metabolites. One sheet per contrast; every sheet holds all 301 metabolites sorted by VIP descending.</t>
  </si>
  <si>
    <t xml:space="preserve">Contrast</t>
  </si>
  <si>
    <t xml:space="preserve">Tissue</t>
  </si>
  <si>
    <t xml:space="preserve">Comparison</t>
  </si>
  <si>
    <t xml:space="preserve">n control</t>
  </si>
  <si>
    <t xml:space="preserve">n treated</t>
  </si>
  <si>
    <t xml:space="preserve">Metabolites</t>
  </si>
  <si>
    <t xml:space="preserve">p &lt; 0.05</t>
  </si>
  <si>
    <t xml:space="preserve">FDR &lt; 0.05</t>
  </si>
  <si>
    <t xml:space="preserve">VIP &gt; 1</t>
  </si>
  <si>
    <t xml:space="preserve">VIP &gt; 1 AND p &lt; 0.05</t>
  </si>
  <si>
    <t xml:space="preserve">scW control vs CSDS</t>
  </si>
  <si>
    <t xml:space="preserve">scW</t>
  </si>
  <si>
    <t xml:space="preserve">control vs CSDS</t>
  </si>
  <si>
    <t xml:space="preserve">BAT control vs CMVS</t>
  </si>
  <si>
    <t xml:space="preserve">BAT</t>
  </si>
  <si>
    <t xml:space="preserve">control vs CMVS</t>
  </si>
  <si>
    <t xml:space="preserve">BAT control vs CSDS</t>
  </si>
  <si>
    <t xml:space="preserve">scW control vs CMVS</t>
  </si>
  <si>
    <t xml:space="preserve">Method notes</t>
  </si>
  <si>
    <t xml:space="preserve">VIP: PLS-DA, 2 components, Pareto scaling, no log transform (the preprocessing that reproduces the reference SIMCA model).</t>
  </si>
  <si>
    <t xml:space="preserve">p-value: Welch two-sample t-test on raw peak areas (does not assume equal variances).</t>
  </si>
  <si>
    <t xml:space="preserve">FDR: Benjamini-Hochberg, computed within each contrast across all 301 metabolites.</t>
  </si>
  <si>
    <t xml:space="preserve">|r| with group: point-biserial correlation between peak area and group membership.</t>
  </si>
  <si>
    <t xml:space="preserve">Sample BAT_Aq_CMVS6 is excluded from both BAT contrasts as a multivariate outlier.</t>
  </si>
  <si>
    <t xml:space="preserve">How to read VIP against the p-value</t>
  </si>
  <si>
    <t xml:space="preserve">VIP is proportional to sqrt(SD) x |r| — it rewards BOTH how large a metabolite's peak is and how consistent the group difference is.</t>
  </si>
  <si>
    <t xml:space="preserve">The t-statistic behind the p-value divides the size out, so it responds to consistency alone.</t>
  </si>
  <si>
    <t xml:space="preserve">A metabolite can therefore have a high VIP and a poor p-value simply because its peak is large.</t>
  </si>
  <si>
    <t xml:space="preserve">Check the 'Peak area rank' column before interpreting any high VIP with a non-significant p-value.</t>
  </si>
  <si>
    <t xml:space="preserve">Caution</t>
  </si>
  <si>
    <t xml:space="preserve">VIP &gt; 1 means 'above-average contribution to the model'. It is not a significance test.</t>
  </si>
  <si>
    <t xml:space="preserve">The BAT control vs CSDS model fails permutation validation (p = 0.098), so its VIP ranking should not be used to nominate biomarkers.</t>
  </si>
  <si>
    <t xml:space="preserve">scW: control vs CSDS — VIP scores and p-values</t>
  </si>
  <si>
    <t xml:space="preserve">All 301 confidently annotated (L1/L2) metabolites, sorted by VIP descending.  n = 6 control vs 6 CSDS.</t>
  </si>
  <si>
    <t xml:space="preserve">VIP from PLS-DA, 2 components, Pareto scaling, no log transform.  p-value = Welch t-test (unequal variances).  FDR = Benjamini-Hochberg across all 301 metabolites.</t>
  </si>
  <si>
    <t xml:space="preserve">VIP &gt; 1 means an above-average contribution to the model; it is NOT a significance test and carries no error control.</t>
  </si>
  <si>
    <t xml:space="preserve">Metabolite</t>
  </si>
  <si>
    <t xml:space="preserve">KEGG ID</t>
  </si>
  <si>
    <t xml:space="preserve">Annotation confidence</t>
  </si>
  <si>
    <t xml:space="preserve">m/z</t>
  </si>
  <si>
    <t xml:space="preserve">RT (min)</t>
  </si>
  <si>
    <t xml:space="preserve">Mean peak area (control)</t>
  </si>
  <si>
    <t xml:space="preserve">SD (control)</t>
  </si>
  <si>
    <t xml:space="preserve">Mean peak area (CSDS)</t>
  </si>
  <si>
    <t xml:space="preserve">SD (CSDS)</t>
  </si>
  <si>
    <t xml:space="preserve">Mean peak area (all)</t>
  </si>
  <si>
    <t xml:space="preserve">Fold change</t>
  </si>
  <si>
    <t xml:space="preserve">log2 fold change</t>
  </si>
  <si>
    <t xml:space="preserve">|r| with group</t>
  </si>
  <si>
    <t xml:space="preserve">VIP score</t>
  </si>
  <si>
    <t xml:space="preserve">p-value (Welch)</t>
  </si>
  <si>
    <t xml:space="preserve">FDR q-value (BH)</t>
  </si>
  <si>
    <t xml:space="preserve">VIP rank</t>
  </si>
  <si>
    <t xml:space="preserve">p-value rank</t>
  </si>
  <si>
    <t xml:space="preserve">Peak area rank</t>
  </si>
  <si>
    <t xml:space="preserve">Significant (p&lt;0.05)</t>
  </si>
  <si>
    <t xml:space="preserve">Passes FDR&lt;0.05</t>
  </si>
  <si>
    <t xml:space="preserve">Creatine</t>
  </si>
  <si>
    <t xml:space="preserve">C00300</t>
  </si>
  <si>
    <t xml:space="preserve">High</t>
  </si>
  <si>
    <t xml:space="preserve">L-Carnitine</t>
  </si>
  <si>
    <t xml:space="preserve">C00318</t>
  </si>
  <si>
    <t xml:space="preserve">O-Acetyl-L-carnitine</t>
  </si>
  <si>
    <t xml:space="preserve">Betaine</t>
  </si>
  <si>
    <t xml:space="preserve">Glutamine</t>
  </si>
  <si>
    <t xml:space="preserve">Taurine</t>
  </si>
  <si>
    <t xml:space="preserve">D00047</t>
  </si>
  <si>
    <t xml:space="preserve">Niacinamide</t>
  </si>
  <si>
    <t xml:space="preserve">Lactic Acid</t>
  </si>
  <si>
    <t xml:space="preserve">D02111</t>
  </si>
  <si>
    <t xml:space="preserve">Medium</t>
  </si>
  <si>
    <t xml:space="preserve">L-Proline</t>
  </si>
  <si>
    <t xml:space="preserve">Glutamate</t>
  </si>
  <si>
    <t xml:space="preserve">AMP</t>
  </si>
  <si>
    <t xml:space="preserve">DELTA-VALEROBETAINE</t>
  </si>
  <si>
    <t xml:space="preserve">Phosphoric acid</t>
  </si>
  <si>
    <t xml:space="preserve">L-Histidine</t>
  </si>
  <si>
    <t xml:space="preserve">Adenosine</t>
  </si>
  <si>
    <t xml:space="preserve">Urocanate</t>
  </si>
  <si>
    <t xml:space="preserve">Phosphorylcholine</t>
  </si>
  <si>
    <t xml:space="preserve">Phenylalanine</t>
  </si>
  <si>
    <t xml:space="preserve">L-Arginine</t>
  </si>
  <si>
    <t xml:space="preserve">C02385</t>
  </si>
  <si>
    <t xml:space="preserve">Sarcosine</t>
  </si>
  <si>
    <t xml:space="preserve">Glycerophosphocholine</t>
  </si>
  <si>
    <t xml:space="preserve">Methionine</t>
  </si>
  <si>
    <t xml:space="preserve">D00019</t>
  </si>
  <si>
    <t xml:space="preserve">Pantothenate</t>
  </si>
  <si>
    <t xml:space="preserve">Anserine</t>
  </si>
  <si>
    <t xml:space="preserve">Glutathione Reduced</t>
  </si>
  <si>
    <t xml:space="preserve">C02471</t>
  </si>
  <si>
    <t xml:space="preserve">Histamine</t>
  </si>
  <si>
    <t xml:space="preserve">Stachydrine</t>
  </si>
  <si>
    <t xml:space="preserve">Deoxycarnitine</t>
  </si>
  <si>
    <t xml:space="preserve">Hypoxanthine</t>
  </si>
  <si>
    <t xml:space="preserve">Propionylcarnitine</t>
  </si>
  <si>
    <t xml:space="preserve">C03017</t>
  </si>
  <si>
    <t xml:space="preserve">Inosine</t>
  </si>
  <si>
    <t xml:space="preserve">Tyrosine</t>
  </si>
  <si>
    <t xml:space="preserve">D00022</t>
  </si>
  <si>
    <t xml:space="preserve">Creatinine</t>
  </si>
  <si>
    <t xml:space="preserve">L-Lysine</t>
  </si>
  <si>
    <t xml:space="preserve">4-Aminobenzoic acid</t>
  </si>
  <si>
    <t xml:space="preserve">D02907</t>
  </si>
  <si>
    <t xml:space="preserve">Linoleic acid</t>
  </si>
  <si>
    <t xml:space="preserve">D01928</t>
  </si>
  <si>
    <t xml:space="preserve">Carnosine</t>
  </si>
  <si>
    <t xml:space="preserve">Xanthine</t>
  </si>
  <si>
    <t xml:space="preserve">Trimethylamine N-Oxide</t>
  </si>
  <si>
    <t xml:space="preserve">Taurocholic acid</t>
  </si>
  <si>
    <t xml:space="preserve">2-Oxindole</t>
  </si>
  <si>
    <t xml:space="preserve">C12312</t>
  </si>
  <si>
    <t xml:space="preserve">2-Methylpyrazine</t>
  </si>
  <si>
    <t xml:space="preserve">Ascorbate</t>
  </si>
  <si>
    <t xml:space="preserve">Threonine</t>
  </si>
  <si>
    <t xml:space="preserve">C12317</t>
  </si>
  <si>
    <t xml:space="preserve">Ergothioneine</t>
  </si>
  <si>
    <t xml:space="preserve">Tryptophan</t>
  </si>
  <si>
    <t xml:space="preserve">L-Citrulline</t>
  </si>
  <si>
    <t xml:space="preserve">D07706</t>
  </si>
  <si>
    <t xml:space="preserve">Succinate</t>
  </si>
  <si>
    <t xml:space="preserve">Choline</t>
  </si>
  <si>
    <t xml:space="preserve">trans-3-Indoleacrylic acid</t>
  </si>
  <si>
    <t xml:space="preserve">Glycerol 3-Phosphate</t>
  </si>
  <si>
    <t xml:space="preserve">D-Histidine</t>
  </si>
  <si>
    <t xml:space="preserve">Malate</t>
  </si>
  <si>
    <t xml:space="preserve">N-Acetylglutamate</t>
  </si>
  <si>
    <t xml:space="preserve">Citrate</t>
  </si>
  <si>
    <t xml:space="preserve">D-Pantothenic acid</t>
  </si>
  <si>
    <t xml:space="preserve">UMP</t>
  </si>
  <si>
    <t xml:space="preserve">4-propylphenol</t>
  </si>
  <si>
    <t xml:space="preserve">IMP</t>
  </si>
  <si>
    <t xml:space="preserve">Phosphoadenosine phosphosulfate</t>
  </si>
  <si>
    <t xml:space="preserve">Guanidinoacetate</t>
  </si>
  <si>
    <t xml:space="preserve">Oleic acid</t>
  </si>
  <si>
    <t xml:space="preserve">D02315</t>
  </si>
  <si>
    <t xml:space="preserve">Myoinositol</t>
  </si>
  <si>
    <t xml:space="preserve">N-acetylaspartate</t>
  </si>
  <si>
    <t xml:space="preserve">ATP</t>
  </si>
  <si>
    <t xml:space="preserve">UDP-N-Acetylgalactosamine</t>
  </si>
  <si>
    <t xml:space="preserve">C00043</t>
  </si>
  <si>
    <t xml:space="preserve">L-Serine</t>
  </si>
  <si>
    <t xml:space="preserve">2-Aminoadipic acid</t>
  </si>
  <si>
    <t xml:space="preserve">Urate</t>
  </si>
  <si>
    <t xml:space="preserve">Cytosine</t>
  </si>
  <si>
    <t xml:space="preserve">Hypotaurine</t>
  </si>
  <si>
    <t xml:space="preserve">C00519</t>
  </si>
  <si>
    <t xml:space="preserve">O-Acetyl-L-serine</t>
  </si>
  <si>
    <t xml:space="preserve">ADP-Ribose</t>
  </si>
  <si>
    <t xml:space="preserve">Ribose 5-phosphate</t>
  </si>
  <si>
    <t xml:space="preserve">Ornithine</t>
  </si>
  <si>
    <t xml:space="preserve">D08302</t>
  </si>
  <si>
    <t xml:space="preserve">Adenine</t>
  </si>
  <si>
    <t xml:space="preserve">Galactonate</t>
  </si>
  <si>
    <t xml:space="preserve">1-Methylnicotinamide</t>
  </si>
  <si>
    <t xml:space="preserve">C02918</t>
  </si>
  <si>
    <t xml:space="preserve">L-Glutathione oxidized</t>
  </si>
  <si>
    <t xml:space="preserve">6-Methylnicotinamide</t>
  </si>
  <si>
    <t xml:space="preserve">2-Hydroxyglutarate</t>
  </si>
  <si>
    <t xml:space="preserve">3-Methyl-2-Oxovalerate</t>
  </si>
  <si>
    <t xml:space="preserve">Myristic Acid</t>
  </si>
  <si>
    <t xml:space="preserve">Pyruvic acid</t>
  </si>
  <si>
    <t xml:space="preserve">C00022</t>
  </si>
  <si>
    <t xml:space="preserve">Beta-NAD</t>
  </si>
  <si>
    <t xml:space="preserve">3,4-Dimethylbenzoic acid</t>
  </si>
  <si>
    <t xml:space="preserve">Hexanoylcarnitine</t>
  </si>
  <si>
    <t xml:space="preserve">3-Phosphoglycerate</t>
  </si>
  <si>
    <t xml:space="preserve">1-Aminocyclopropanecarboxylate</t>
  </si>
  <si>
    <t xml:space="preserve">D-(+)-Glucose</t>
  </si>
  <si>
    <t xml:space="preserve">D00053</t>
  </si>
  <si>
    <t xml:space="preserve">4-Guanidinobutanoate</t>
  </si>
  <si>
    <t xml:space="preserve">dGTP</t>
  </si>
  <si>
    <t xml:space="preserve">C00286</t>
  </si>
  <si>
    <t xml:space="preserve">Pyridoxal</t>
  </si>
  <si>
    <t xml:space="preserve">α-Methylhistamine</t>
  </si>
  <si>
    <t xml:space="preserve">Cinnamyl Alcohol</t>
  </si>
  <si>
    <t xml:space="preserve">Prolylleucine</t>
  </si>
  <si>
    <t xml:space="preserve">GMP</t>
  </si>
  <si>
    <t xml:space="preserve">N-Methylaspartate</t>
  </si>
  <si>
    <t xml:space="preserve">Ethyl acetoacetate</t>
  </si>
  <si>
    <t xml:space="preserve">3-Hydroxyisobutyrate</t>
  </si>
  <si>
    <t xml:space="preserve">1-Palmitoyl-sn-glycero-3-Phosphocholine</t>
  </si>
  <si>
    <t xml:space="preserve">Diethanolamine</t>
  </si>
  <si>
    <t xml:space="preserve">Aspartate</t>
  </si>
  <si>
    <t xml:space="preserve">Asparagine</t>
  </si>
  <si>
    <t xml:space="preserve">C00152</t>
  </si>
  <si>
    <t xml:space="preserve">Gluconate</t>
  </si>
  <si>
    <t xml:space="preserve">CMP</t>
  </si>
  <si>
    <t xml:space="preserve">Cytidine</t>
  </si>
  <si>
    <t xml:space="preserve">D07769</t>
  </si>
  <si>
    <t xml:space="preserve">Indoxyl Sulfate</t>
  </si>
  <si>
    <t xml:space="preserve">Nicotinamide</t>
  </si>
  <si>
    <t xml:space="preserve">D00036</t>
  </si>
  <si>
    <t xml:space="preserve">N-Acetyl-1-aspartylglutamic acid</t>
  </si>
  <si>
    <t xml:space="preserve">C12270</t>
  </si>
  <si>
    <t xml:space="preserve">3-Hydroxybutyrate</t>
  </si>
  <si>
    <t xml:space="preserve">Galactose 1-phosphate</t>
  </si>
  <si>
    <t xml:space="preserve">C00103</t>
  </si>
  <si>
    <t xml:space="preserve">ADP</t>
  </si>
  <si>
    <t xml:space="preserve">Allantoin</t>
  </si>
  <si>
    <t xml:space="preserve">Acetyl-L-carnitine</t>
  </si>
  <si>
    <t xml:space="preserve">L-Hydroxyproline</t>
  </si>
  <si>
    <t xml:space="preserve">1,5-Anhydrosorbitol</t>
  </si>
  <si>
    <t xml:space="preserve">Ureidopropionate</t>
  </si>
  <si>
    <t xml:space="preserve">5-methyl-5' thioadenosine</t>
  </si>
  <si>
    <t xml:space="preserve">Uridine</t>
  </si>
  <si>
    <t xml:space="preserve">2,6-Dihydroxybenzoic acid</t>
  </si>
  <si>
    <t xml:space="preserve">3-Methoxypropanoic acid</t>
  </si>
  <si>
    <t xml:space="preserve">Pipecolate</t>
  </si>
  <si>
    <t xml:space="preserve">C00408</t>
  </si>
  <si>
    <t xml:space="preserve">2'-Deoxyguanosine 5'-triphosphate (dGTP)</t>
  </si>
  <si>
    <t xml:space="preserve">Isobutyrate</t>
  </si>
  <si>
    <t xml:space="preserve">2-Methylbenzoate</t>
  </si>
  <si>
    <t xml:space="preserve">Leucylproline</t>
  </si>
  <si>
    <t xml:space="preserve">O-Phosphoethanolamine</t>
  </si>
  <si>
    <t xml:space="preserve">Hippurate</t>
  </si>
  <si>
    <t xml:space="preserve">L-Homoserine</t>
  </si>
  <si>
    <t xml:space="preserve">L-Ornithine</t>
  </si>
  <si>
    <t xml:space="preserve">Raffinose</t>
  </si>
  <si>
    <t xml:space="preserve">O-Phosphoserine</t>
  </si>
  <si>
    <t xml:space="preserve">Maltotetraose</t>
  </si>
  <si>
    <t xml:space="preserve">UDP-Glucuronate</t>
  </si>
  <si>
    <t xml:space="preserve">C00167</t>
  </si>
  <si>
    <t xml:space="preserve">Uracil</t>
  </si>
  <si>
    <t xml:space="preserve">FAD</t>
  </si>
  <si>
    <t xml:space="preserve">S-Adenosylmethionine</t>
  </si>
  <si>
    <t xml:space="preserve">C00019</t>
  </si>
  <si>
    <t xml:space="preserve">Glucose 6-Phosphate</t>
  </si>
  <si>
    <t xml:space="preserve">1,2,3-Propanetricarboxylate</t>
  </si>
  <si>
    <t xml:space="preserve">N-Glycolylneuraminate</t>
  </si>
  <si>
    <t xml:space="preserve">Guanine</t>
  </si>
  <si>
    <t xml:space="preserve">C00242</t>
  </si>
  <si>
    <t xml:space="preserve">2-Oxoadipate</t>
  </si>
  <si>
    <t xml:space="preserve">2-Acetamido-2-Deoxy-D-Glucopyranose</t>
  </si>
  <si>
    <t xml:space="preserve">Dihydronicotinamide-adenine dinucleotide</t>
  </si>
  <si>
    <t xml:space="preserve">Arachidonic Acid</t>
  </si>
  <si>
    <t xml:space="preserve">16-Hydroxyhexadecanoic acid</t>
  </si>
  <si>
    <t xml:space="preserve">C18218</t>
  </si>
  <si>
    <t xml:space="preserve">N-Acetyl-Glucosamine 1-Phosphate</t>
  </si>
  <si>
    <t xml:space="preserve">10-Hydroxydecanoate</t>
  </si>
  <si>
    <t xml:space="preserve">1-Methylhistidine</t>
  </si>
  <si>
    <t xml:space="preserve">C01152</t>
  </si>
  <si>
    <t xml:space="preserve">N-Acetylgalactosamine</t>
  </si>
  <si>
    <t xml:space="preserve">Isocitrate</t>
  </si>
  <si>
    <t xml:space="preserve">L-Pipecolinic acid</t>
  </si>
  <si>
    <t xml:space="preserve">2-Oxoglutarate</t>
  </si>
  <si>
    <t xml:space="preserve">C00026</t>
  </si>
  <si>
    <t xml:space="preserve">Methylthioadenosine</t>
  </si>
  <si>
    <t xml:space="preserve">C00170</t>
  </si>
  <si>
    <t xml:space="preserve">Fructose 6-Phosphate</t>
  </si>
  <si>
    <t xml:space="preserve">2-Methylmalonate</t>
  </si>
  <si>
    <t xml:space="preserve">Phosphocreatine</t>
  </si>
  <si>
    <t xml:space="preserve">UDP-Glucose</t>
  </si>
  <si>
    <t xml:space="preserve">Orotate</t>
  </si>
  <si>
    <t xml:space="preserve">Salicylate</t>
  </si>
  <si>
    <t xml:space="preserve">5-(Hydroxymethyl)furfural</t>
  </si>
  <si>
    <t xml:space="preserve">N-Acetyl-L-leucine</t>
  </si>
  <si>
    <t xml:space="preserve">4-Imidazoleacetate</t>
  </si>
  <si>
    <t xml:space="preserve">5-Methylcytosine</t>
  </si>
  <si>
    <t xml:space="preserve">3-Sulfinoalanine</t>
  </si>
  <si>
    <t xml:space="preserve">Ophthalmate</t>
  </si>
  <si>
    <t xml:space="preserve">N-Acetylneuraminate</t>
  </si>
  <si>
    <t xml:space="preserve">Phosphoenolpyruvate</t>
  </si>
  <si>
    <t xml:space="preserve">Glutaryl-L-carnitine</t>
  </si>
  <si>
    <t xml:space="preserve">GDP-Mannose</t>
  </si>
  <si>
    <t xml:space="preserve">C00096</t>
  </si>
  <si>
    <t xml:space="preserve">2-Hydroxypyridine</t>
  </si>
  <si>
    <t xml:space="preserve">(3,9-Diacetyloxy-12-hydroxy-2,6,6,13-tetramethyl-8-tetracyclo[11.2.1.01,10.02,7]hexadecanyl) benzoate</t>
  </si>
  <si>
    <t xml:space="preserve">4-Hydroxyphenyllactate</t>
  </si>
  <si>
    <t xml:space="preserve">Dihydroxyacetone Phosphate</t>
  </si>
  <si>
    <t xml:space="preserve">Aloin</t>
  </si>
  <si>
    <t xml:space="preserve">Phthalate</t>
  </si>
  <si>
    <t xml:space="preserve">Phe-Pro</t>
  </si>
  <si>
    <t xml:space="preserve">5'-Cytidylic acid</t>
  </si>
  <si>
    <t xml:space="preserve">Mannose</t>
  </si>
  <si>
    <t xml:space="preserve">Methylimidazoleacetic acid</t>
  </si>
  <si>
    <t xml:space="preserve">C05828</t>
  </si>
  <si>
    <t xml:space="preserve">UDP</t>
  </si>
  <si>
    <t xml:space="preserve">Trehalose</t>
  </si>
  <si>
    <t xml:space="preserve">4-Toluic acid</t>
  </si>
  <si>
    <t xml:space="preserve">C01454</t>
  </si>
  <si>
    <t xml:space="preserve">Uridine 5'-diphosphate</t>
  </si>
  <si>
    <t xml:space="preserve">Acetyl-CoA</t>
  </si>
  <si>
    <t xml:space="preserve">Deoxyguanosine</t>
  </si>
  <si>
    <t xml:space="preserve">L-Pyroglutamic acid</t>
  </si>
  <si>
    <t xml:space="preserve">UDP-N-acetylglucosamine</t>
  </si>
  <si>
    <t xml:space="preserve">3',5'-ADP</t>
  </si>
  <si>
    <t xml:space="preserve">4-Pyridoxate</t>
  </si>
  <si>
    <t xml:space="preserve">Coenzyme A</t>
  </si>
  <si>
    <t xml:space="preserve">Pro-Glu</t>
  </si>
  <si>
    <t xml:space="preserve">Leu-Thr</t>
  </si>
  <si>
    <t xml:space="preserve">3-(4-hydroxyphenyl)propanoate</t>
  </si>
  <si>
    <t xml:space="preserve">2',3'-cCMP</t>
  </si>
  <si>
    <t xml:space="preserve">Guanosine</t>
  </si>
  <si>
    <t xml:space="preserve">3'-Adenosine monophosphate (3'-AMP)</t>
  </si>
  <si>
    <t xml:space="preserve">C01367</t>
  </si>
  <si>
    <t xml:space="preserve">dGMP</t>
  </si>
  <si>
    <t xml:space="preserve">Guanosine 5'-diphosphate (GDP)</t>
  </si>
  <si>
    <t xml:space="preserve">C00035</t>
  </si>
  <si>
    <t xml:space="preserve">Galactarate</t>
  </si>
  <si>
    <t xml:space="preserve">Suberate</t>
  </si>
  <si>
    <t xml:space="preserve">UTP</t>
  </si>
  <si>
    <t xml:space="preserve">5-Oxoproline</t>
  </si>
  <si>
    <t xml:space="preserve">Glycerate</t>
  </si>
  <si>
    <t xml:space="preserve">Gamma-Glutamylphenylalanine</t>
  </si>
  <si>
    <t xml:space="preserve">Purine</t>
  </si>
  <si>
    <t xml:space="preserve">S-Adenosylhomocysteine</t>
  </si>
  <si>
    <t xml:space="preserve">Gamma-glutamylcysteinylglycine</t>
  </si>
  <si>
    <t xml:space="preserve">Methyl Galactoside</t>
  </si>
  <si>
    <t xml:space="preserve">His-Ser</t>
  </si>
  <si>
    <t xml:space="preserve">N-Acetylasparagine</t>
  </si>
  <si>
    <t xml:space="preserve">D-Histidine methyl ester</t>
  </si>
  <si>
    <t xml:space="preserve">Beta-Glycerophosphate</t>
  </si>
  <si>
    <t xml:space="preserve">Dephospho-Coenzyme-A</t>
  </si>
  <si>
    <t xml:space="preserve">N-Acetylglucosamine</t>
  </si>
  <si>
    <t xml:space="preserve">Inosinic Acid</t>
  </si>
  <si>
    <t xml:space="preserve">Argininosuccinate</t>
  </si>
  <si>
    <t xml:space="preserve">C03406</t>
  </si>
  <si>
    <t xml:space="preserve">N-Acetyl-methionine</t>
  </si>
  <si>
    <t xml:space="preserve">Riboflavin Phosphate</t>
  </si>
  <si>
    <t xml:space="preserve">Cinnamoylglycine-trans</t>
  </si>
  <si>
    <t xml:space="preserve">Cytidine 5'-diphosphocholine</t>
  </si>
  <si>
    <t xml:space="preserve">C00307</t>
  </si>
  <si>
    <t xml:space="preserve">N-Methylglutamate</t>
  </si>
  <si>
    <t xml:space="preserve">Kynurenine</t>
  </si>
  <si>
    <t xml:space="preserve">6-Phosphogluconate</t>
  </si>
  <si>
    <t xml:space="preserve">Glucuronate</t>
  </si>
  <si>
    <t xml:space="preserve">Spermidine</t>
  </si>
  <si>
    <t xml:space="preserve">C00315</t>
  </si>
  <si>
    <t xml:space="preserve">Deoxyinosine</t>
  </si>
  <si>
    <t xml:space="preserve">Fucose</t>
  </si>
  <si>
    <t xml:space="preserve">(E)-8,9,10-trihydroxyoctadec-6-enoic acid</t>
  </si>
  <si>
    <t xml:space="preserve">Thiamine Pyrophosphate</t>
  </si>
  <si>
    <t xml:space="preserve">Dihydrobiopterin</t>
  </si>
  <si>
    <t xml:space="preserve">Ile-Gln</t>
  </si>
  <si>
    <t xml:space="preserve">Pro-Ala</t>
  </si>
  <si>
    <t xml:space="preserve">3'-Dephosphocoenzyme A</t>
  </si>
  <si>
    <t xml:space="preserve">C00882</t>
  </si>
  <si>
    <t xml:space="preserve">N-Acetylglycine</t>
  </si>
  <si>
    <t xml:space="preserve">Gly-Phe</t>
  </si>
  <si>
    <t xml:space="preserve">2-Phosphoglycerate</t>
  </si>
  <si>
    <t xml:space="preserve">2-Methylbutyrylglycine</t>
  </si>
  <si>
    <t xml:space="preserve">5-Methoxyindoleacetate</t>
  </si>
  <si>
    <t xml:space="preserve">N-Acetylphenylalanine</t>
  </si>
  <si>
    <t xml:space="preserve">Asiatate</t>
  </si>
  <si>
    <t xml:space="preserve">12(13)-DiHOME</t>
  </si>
  <si>
    <t xml:space="preserve">NADP</t>
  </si>
  <si>
    <t xml:space="preserve">Adenosine 5'-diphosphate</t>
  </si>
  <si>
    <t xml:space="preserve">4-Acetamidobutanoate</t>
  </si>
  <si>
    <t xml:space="preserve">Phenylacetylglycine</t>
  </si>
  <si>
    <t xml:space="preserve">C05598</t>
  </si>
  <si>
    <t xml:space="preserve">D-Ribulose 5-phosphate</t>
  </si>
  <si>
    <t xml:space="preserve">C00199</t>
  </si>
  <si>
    <t xml:space="preserve">Riboflavin (B2)</t>
  </si>
  <si>
    <t xml:space="preserve">N-Acetyl-L-alanine</t>
  </si>
  <si>
    <t xml:space="preserve">Guanosine 5'-diphospho-ß-L-fucose</t>
  </si>
  <si>
    <t xml:space="preserve">C00325</t>
  </si>
  <si>
    <t xml:space="preserve">ADP-Glucose</t>
  </si>
  <si>
    <t xml:space="preserve">Ile-Ala</t>
  </si>
  <si>
    <t xml:space="preserve">Adenosine diphosphate ribose</t>
  </si>
  <si>
    <t xml:space="preserve">Xylitol</t>
  </si>
  <si>
    <t xml:space="preserve">Galactitol</t>
  </si>
  <si>
    <t xml:space="preserve">L-Tyrosine methyl ester</t>
  </si>
  <si>
    <t xml:space="preserve">C03404</t>
  </si>
  <si>
    <t xml:space="preserve">Palmitoylcarnitine</t>
  </si>
  <si>
    <t xml:space="preserve">Ala-His</t>
  </si>
  <si>
    <t xml:space="preserve">Guanosine Triphosphate</t>
  </si>
  <si>
    <t xml:space="preserve">Gly-Arg</t>
  </si>
  <si>
    <t xml:space="preserve">Phe-Gln</t>
  </si>
  <si>
    <t xml:space="preserve">N-Acetyl-L-cysteine</t>
  </si>
  <si>
    <t xml:space="preserve">Pseudouridine</t>
  </si>
  <si>
    <t xml:space="preserve">Phenyllactate</t>
  </si>
  <si>
    <t xml:space="preserve">Glycyl-L-leucine</t>
  </si>
  <si>
    <t xml:space="preserve">Xanthosine</t>
  </si>
  <si>
    <t xml:space="preserve">Dihydrothymine</t>
  </si>
  <si>
    <t xml:space="preserve">Delta-Decalactone</t>
  </si>
  <si>
    <t xml:space="preserve">N-Formyl-L-Methionine</t>
  </si>
  <si>
    <t xml:space="preserve">Cysteate</t>
  </si>
  <si>
    <t xml:space="preserve">NADPH</t>
  </si>
  <si>
    <t xml:space="preserve">2-Hydroxy-4-(Methylthio)Butanoate</t>
  </si>
  <si>
    <t xml:space="preserve">Asn-Glu-Ile</t>
  </si>
  <si>
    <t xml:space="preserve">Homogentisate</t>
  </si>
  <si>
    <t xml:space="preserve">Phe-Ser</t>
  </si>
  <si>
    <t xml:space="preserve">Val-Ser</t>
  </si>
  <si>
    <t xml:space="preserve">Sebacate</t>
  </si>
  <si>
    <t xml:space="preserve">cAMP</t>
  </si>
  <si>
    <t xml:space="preserve">Leu-Ala</t>
  </si>
  <si>
    <t xml:space="preserve">Ser-Thr</t>
  </si>
  <si>
    <t xml:space="preserve">Adenosine 5'-monophosphate</t>
  </si>
  <si>
    <t xml:space="preserve">D02769</t>
  </si>
  <si>
    <t xml:space="preserve">CDP</t>
  </si>
  <si>
    <t xml:space="preserve">Melibiose</t>
  </si>
  <si>
    <t xml:space="preserve">Galactose</t>
  </si>
  <si>
    <t xml:space="preserve">Val-Met</t>
  </si>
  <si>
    <t xml:space="preserve">UDP-Galactose</t>
  </si>
  <si>
    <t xml:space="preserve">Guanidinoethyl sulfonate</t>
  </si>
  <si>
    <t xml:space="preserve">C02419</t>
  </si>
  <si>
    <t xml:space="preserve">Guanidinosuccinate</t>
  </si>
  <si>
    <t xml:space="preserve">1,3,7-Trimethylurate</t>
  </si>
  <si>
    <t xml:space="preserve">Nicotinamide Mononucleotide</t>
  </si>
  <si>
    <t xml:space="preserve">C00455</t>
  </si>
  <si>
    <t xml:space="preserve">Ala-Ala</t>
  </si>
  <si>
    <t xml:space="preserve">Glucose 1-phosphate</t>
  </si>
  <si>
    <t xml:space="preserve">Indole-3-Pyruvate</t>
  </si>
  <si>
    <t xml:space="preserve">4-Hydroxy-3-Methoxyphenylglycol</t>
  </si>
  <si>
    <t xml:space="preserve">Decanoylcarnitine</t>
  </si>
  <si>
    <t xml:space="preserve">Lumichrome</t>
  </si>
  <si>
    <t xml:space="preserve">Phe-Trp</t>
  </si>
  <si>
    <t xml:space="preserve">Cyclic ADP-ribose</t>
  </si>
  <si>
    <t xml:space="preserve">C13050</t>
  </si>
  <si>
    <t xml:space="preserve">Thr-Thr</t>
  </si>
  <si>
    <t xml:space="preserve">Deoxyuridine</t>
  </si>
  <si>
    <t xml:space="preserve">BAT: control vs CMVS — VIP scores and p-values</t>
  </si>
  <si>
    <t xml:space="preserve">All 301 confidently annotated (L1/L2) metabolites, sorted by VIP descending.  n = 6 control vs 5 CMVS.</t>
  </si>
  <si>
    <t xml:space="preserve">VIP from PLS-DA, 2 components, Pareto scaling, no log transform.  p-value = Welch t-test (unequal variances).  FDR = Benjamini-Hochberg across all 301 metabolites.  Sample BAT_Aq_CMVS6 excluded as a multivariate outlier.</t>
  </si>
  <si>
    <t xml:space="preserve">Mean peak area (CMVS)</t>
  </si>
  <si>
    <t xml:space="preserve">SD (CMVS)</t>
  </si>
  <si>
    <t xml:space="preserve">BAT: control vs CSDS — VIP scores and p-values</t>
  </si>
  <si>
    <t xml:space="preserve">scW: control vs CMVS — VIP scores and p-values</t>
  </si>
  <si>
    <t xml:space="preserve">All 301 confidently annotated (L1/L2) metabolites, sorted by VIP descending.  n = 6 control vs 6 CMVS.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</si>
</sst>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"/>
    <numFmt numFmtId="167" formatCode="#,##0"/>
    <numFmt numFmtId="168" formatCode="0.000"/>
    <numFmt numFmtId="169" formatCode="0.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 patternType="solid">
          <fgColor rgb="FFA9D08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9D0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n">
        <v>6</v>
      </c>
      <c r="E5" s="4" t="n">
        <v>6</v>
      </c>
      <c r="F5" s="4" t="n">
        <f aca="false">COUNT('scW control vs CSDS'!$N$7:$N$307)</f>
        <v>301</v>
      </c>
      <c r="G5" s="4" t="n">
        <f aca="false">COUNTIF('scW control vs CSDS'!$O$7:$O$307,"&lt;0.05")</f>
        <v>91</v>
      </c>
      <c r="H5" s="4" t="n">
        <f aca="false">COUNTIF('scW control vs CSDS'!$P$7:$P$307,"&lt;0.05")</f>
        <v>0</v>
      </c>
      <c r="I5" s="4" t="n">
        <f aca="false">COUNTIF('scW control vs CSDS'!$N$7:$N$307,"&gt;1")</f>
        <v>45</v>
      </c>
      <c r="J5" s="4" t="n">
        <f aca="false">COUNTIFS('scW control vs CSDS'!$N$7:$N$307,"&gt;1",'scW control vs CSDS'!$O$7:$O$307,"&lt;0.05")</f>
        <v>25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17</v>
      </c>
      <c r="D6" s="4" t="n">
        <v>6</v>
      </c>
      <c r="E6" s="4" t="n">
        <v>5</v>
      </c>
      <c r="F6" s="4" t="n">
        <f aca="false">COUNT('BAT control vs CMVS'!$N$7:$N$307)</f>
        <v>301</v>
      </c>
      <c r="G6" s="4" t="n">
        <f aca="false">COUNTIF('BAT control vs CMVS'!$O$7:$O$307,"&lt;0.05")</f>
        <v>32</v>
      </c>
      <c r="H6" s="4" t="n">
        <f aca="false">COUNTIF('BAT control vs CMVS'!$P$7:$P$307,"&lt;0.05")</f>
        <v>0</v>
      </c>
      <c r="I6" s="4" t="n">
        <f aca="false">COUNTIF('BAT control vs CMVS'!$N$7:$N$307,"&gt;1")</f>
        <v>36</v>
      </c>
      <c r="J6" s="4" t="n">
        <f aca="false">COUNTIFS('BAT control vs CMVS'!$N$7:$N$307,"&gt;1",'BAT control vs CMVS'!$O$7:$O$307,"&lt;0.05")</f>
        <v>12</v>
      </c>
    </row>
    <row r="7" customFormat="false" ht="15" hidden="false" customHeight="false" outlineLevel="0" collapsed="false">
      <c r="A7" s="4" t="s">
        <v>18</v>
      </c>
      <c r="B7" s="4" t="s">
        <v>16</v>
      </c>
      <c r="C7" s="4" t="s">
        <v>14</v>
      </c>
      <c r="D7" s="4" t="n">
        <v>6</v>
      </c>
      <c r="E7" s="4" t="n">
        <v>6</v>
      </c>
      <c r="F7" s="4" t="n">
        <f aca="false">COUNT('BAT control vs CSDS'!$N$7:$N$307)</f>
        <v>301</v>
      </c>
      <c r="G7" s="4" t="n">
        <f aca="false">COUNTIF('BAT control vs CSDS'!$O$7:$O$307,"&lt;0.05")</f>
        <v>31</v>
      </c>
      <c r="H7" s="4" t="n">
        <f aca="false">COUNTIF('BAT control vs CSDS'!$P$7:$P$307,"&lt;0.05")</f>
        <v>0</v>
      </c>
      <c r="I7" s="4" t="n">
        <f aca="false">COUNTIF('BAT control vs CSDS'!$N$7:$N$307,"&gt;1")</f>
        <v>35</v>
      </c>
      <c r="J7" s="4" t="n">
        <f aca="false">COUNTIFS('BAT control vs CSDS'!$N$7:$N$307,"&gt;1",'BAT control vs CSDS'!$O$7:$O$307,"&lt;0.05")</f>
        <v>6</v>
      </c>
    </row>
    <row r="8" customFormat="false" ht="15" hidden="false" customHeight="false" outlineLevel="0" collapsed="false">
      <c r="A8" s="4" t="s">
        <v>19</v>
      </c>
      <c r="B8" s="4" t="s">
        <v>13</v>
      </c>
      <c r="C8" s="4" t="s">
        <v>17</v>
      </c>
      <c r="D8" s="4" t="n">
        <v>6</v>
      </c>
      <c r="E8" s="4" t="n">
        <v>6</v>
      </c>
      <c r="F8" s="4" t="n">
        <f aca="false">COUNT('scW control vs CMVS'!$N$7:$N$307)</f>
        <v>301</v>
      </c>
      <c r="G8" s="4" t="n">
        <f aca="false">COUNTIF('scW control vs CMVS'!$O$7:$O$307,"&lt;0.05")</f>
        <v>118</v>
      </c>
      <c r="H8" s="4" t="n">
        <f aca="false">COUNTIF('scW control vs CMVS'!$P$7:$P$307,"&lt;0.05")</f>
        <v>49</v>
      </c>
      <c r="I8" s="4" t="n">
        <f aca="false">COUNTIF('scW control vs CMVS'!$N$7:$N$307,"&gt;1")</f>
        <v>41</v>
      </c>
      <c r="J8" s="4" t="n">
        <f aca="false">COUNTIFS('scW control vs CMVS'!$N$7:$N$307,"&gt;1",'scW control vs CMVS'!$O$7:$O$307,"&lt;0.05")</f>
        <v>26</v>
      </c>
    </row>
    <row r="11" customFormat="false" ht="15" hidden="false" customHeight="false" outlineLevel="0" collapsed="false">
      <c r="A11" s="5" t="s">
        <v>20</v>
      </c>
    </row>
    <row r="12" customFormat="false" ht="15" hidden="false" customHeight="false" outlineLevel="0" collapsed="false">
      <c r="A12" s="2" t="s">
        <v>21</v>
      </c>
    </row>
    <row r="13" customFormat="false" ht="15" hidden="false" customHeight="false" outlineLevel="0" collapsed="false">
      <c r="A13" s="2" t="s">
        <v>22</v>
      </c>
    </row>
    <row r="14" customFormat="false" ht="15" hidden="false" customHeight="false" outlineLevel="0" collapsed="false">
      <c r="A14" s="2" t="s">
        <v>23</v>
      </c>
    </row>
    <row r="15" customFormat="false" ht="15" hidden="false" customHeight="false" outlineLevel="0" collapsed="false">
      <c r="A15" s="2" t="s">
        <v>24</v>
      </c>
    </row>
    <row r="16" customFormat="false" ht="15" hidden="false" customHeight="false" outlineLevel="0" collapsed="false">
      <c r="A16" s="2" t="s">
        <v>25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5" t="s">
        <v>26</v>
      </c>
    </row>
    <row r="19" customFormat="false" ht="15" hidden="false" customHeight="false" outlineLevel="0" collapsed="false">
      <c r="A19" s="2" t="s">
        <v>27</v>
      </c>
    </row>
    <row r="20" customFormat="false" ht="15" hidden="false" customHeight="false" outlineLevel="0" collapsed="false">
      <c r="A20" s="2" t="s">
        <v>28</v>
      </c>
    </row>
    <row r="21" customFormat="false" ht="15" hidden="false" customHeight="false" outlineLevel="0" collapsed="false">
      <c r="A21" s="2" t="s">
        <v>29</v>
      </c>
    </row>
    <row r="22" customFormat="false" ht="15" hidden="false" customHeight="false" outlineLevel="0" collapsed="false">
      <c r="A22" s="2" t="s">
        <v>30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5" t="s">
        <v>31</v>
      </c>
    </row>
    <row r="25" customFormat="false" ht="15" hidden="false" customHeight="false" outlineLevel="0" collapsed="false">
      <c r="A25" s="2" t="s">
        <v>32</v>
      </c>
    </row>
    <row r="26" customFormat="false" ht="15" hidden="false" customHeight="false" outlineLevel="0" collapsed="false">
      <c r="A26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9" min="17" style="0" width="11"/>
    <col collapsed="false" customWidth="true" hidden="false" outlineLevel="0" max="21" min="20" style="0" width="12"/>
    <col collapsed="false" customWidth="true" hidden="false" outlineLevel="0" max="22" min="22" style="0" width="9"/>
  </cols>
  <sheetData>
    <row r="1" customFormat="false" ht="15" hidden="false" customHeight="false" outlineLevel="0" collapsed="false">
      <c r="A1" s="6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15" hidden="false" customHeight="false" outlineLevel="0" collapsed="false">
      <c r="A4" s="2" t="s">
        <v>37</v>
      </c>
    </row>
    <row r="6" customFormat="false" ht="35.0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 t="s">
        <v>46</v>
      </c>
      <c r="J6" s="7" t="s">
        <v>47</v>
      </c>
      <c r="K6" s="7" t="s">
        <v>48</v>
      </c>
      <c r="L6" s="7" t="s">
        <v>49</v>
      </c>
      <c r="M6" s="7" t="s">
        <v>50</v>
      </c>
      <c r="N6" s="7" t="s">
        <v>51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58</v>
      </c>
      <c r="V6" s="7" t="s">
        <v>10</v>
      </c>
    </row>
    <row r="7" customFormat="false" ht="15" hidden="false" customHeight="false" outlineLevel="0" collapsed="false">
      <c r="A7" s="4" t="s">
        <v>59</v>
      </c>
      <c r="B7" s="4" t="s">
        <v>60</v>
      </c>
      <c r="C7" s="4" t="s">
        <v>61</v>
      </c>
      <c r="D7" s="8" t="n">
        <v>132.07663</v>
      </c>
      <c r="E7" s="9" t="n">
        <v>11.358</v>
      </c>
      <c r="F7" s="10" t="n">
        <v>1282401091.33946</v>
      </c>
      <c r="G7" s="10" t="n">
        <v>825819311.773691</v>
      </c>
      <c r="H7" s="10" t="n">
        <v>1350393450.62918</v>
      </c>
      <c r="I7" s="10" t="n">
        <v>177545671.611558</v>
      </c>
      <c r="J7" s="10" t="n">
        <v>1316397270.98432</v>
      </c>
      <c r="K7" s="11" t="n">
        <v>1.05301957378928</v>
      </c>
      <c r="L7" s="11" t="n">
        <v>0.0745322537864811</v>
      </c>
      <c r="M7" s="11" t="n">
        <v>0.0622294854832082</v>
      </c>
      <c r="N7" s="11" t="n">
        <v>7.28618518271398</v>
      </c>
      <c r="O7" s="12" t="n">
        <v>0.850826012943109</v>
      </c>
      <c r="P7" s="12" t="n">
        <v>0.901755739069985</v>
      </c>
      <c r="Q7" s="4" t="n">
        <f aca="false">RANK(N7,$N$7:$N$307,0)</f>
        <v>1</v>
      </c>
      <c r="R7" s="4" t="n">
        <f aca="false">RANK(O7,$O$7:$O$307,1)</f>
        <v>284</v>
      </c>
      <c r="S7" s="4" t="n">
        <f aca="false">RANK(J7,$J$7:$J$307,0)</f>
        <v>1</v>
      </c>
      <c r="T7" s="4" t="str">
        <f aca="false">IF(O7&lt;0.05,"YES","no")</f>
        <v>no</v>
      </c>
      <c r="U7" s="4" t="str">
        <f aca="false">IF(P7&lt;0.05,"YES","no")</f>
        <v>no</v>
      </c>
      <c r="V7" s="4" t="str">
        <f aca="false">IF(N7&gt;1,"YES","no")</f>
        <v>YES</v>
      </c>
    </row>
    <row r="8" customFormat="false" ht="15" hidden="false" customHeight="false" outlineLevel="0" collapsed="false">
      <c r="A8" s="4" t="s">
        <v>62</v>
      </c>
      <c r="B8" s="4" t="s">
        <v>63</v>
      </c>
      <c r="C8" s="4" t="s">
        <v>61</v>
      </c>
      <c r="D8" s="8" t="n">
        <v>162.11233</v>
      </c>
      <c r="E8" s="9" t="n">
        <v>11.266</v>
      </c>
      <c r="F8" s="10" t="n">
        <v>1040434822.25981</v>
      </c>
      <c r="G8" s="10" t="n">
        <v>385125852.09194</v>
      </c>
      <c r="H8" s="10" t="n">
        <v>1579049026.74796</v>
      </c>
      <c r="I8" s="10" t="n">
        <v>415318541.152215</v>
      </c>
      <c r="J8" s="10" t="n">
        <v>1309741924.50388</v>
      </c>
      <c r="K8" s="11" t="n">
        <v>1.5176818316387</v>
      </c>
      <c r="L8" s="11" t="n">
        <v>0.601869374397419</v>
      </c>
      <c r="M8" s="11" t="n">
        <v>0.59306986783482</v>
      </c>
      <c r="N8" s="11" t="n">
        <v>6.09959660820684</v>
      </c>
      <c r="O8" s="12" t="n">
        <v>0.0422362057906503</v>
      </c>
      <c r="P8" s="12" t="n">
        <v>0.152869244716545</v>
      </c>
      <c r="Q8" s="4" t="n">
        <f aca="false">RANK(N8,$N$7:$N$307,0)</f>
        <v>2</v>
      </c>
      <c r="R8" s="4" t="n">
        <f aca="false">RANK(O8,$O$7:$O$307,1)</f>
        <v>83</v>
      </c>
      <c r="S8" s="4" t="n">
        <f aca="false">RANK(J8,$J$7:$J$307,0)</f>
        <v>2</v>
      </c>
      <c r="T8" s="4" t="str">
        <f aca="false">IF(O8&lt;0.05,"YES","no")</f>
        <v>YES</v>
      </c>
      <c r="U8" s="4" t="str">
        <f aca="false">IF(P8&lt;0.05,"YES","no")</f>
        <v>no</v>
      </c>
      <c r="V8" s="4" t="str">
        <f aca="false">IF(N8&gt;1,"YES","no")</f>
        <v>YES</v>
      </c>
    </row>
    <row r="9" customFormat="false" ht="15" hidden="false" customHeight="false" outlineLevel="0" collapsed="false">
      <c r="A9" s="4" t="s">
        <v>64</v>
      </c>
      <c r="B9" s="4"/>
      <c r="C9" s="4" t="s">
        <v>61</v>
      </c>
      <c r="D9" s="8" t="n">
        <v>204.12298</v>
      </c>
      <c r="E9" s="9" t="n">
        <v>10.121</v>
      </c>
      <c r="F9" s="10" t="n">
        <v>446743621.385769</v>
      </c>
      <c r="G9" s="10" t="n">
        <v>252485053.359316</v>
      </c>
      <c r="H9" s="10" t="n">
        <v>443187897.612167</v>
      </c>
      <c r="I9" s="10" t="n">
        <v>118482283.306206</v>
      </c>
      <c r="J9" s="10" t="n">
        <v>444965759.498968</v>
      </c>
      <c r="K9" s="11" t="n">
        <v>0.992040795652386</v>
      </c>
      <c r="L9" s="11" t="n">
        <v>-0.0115286451671365</v>
      </c>
      <c r="M9" s="11" t="n">
        <v>0.00987483031501287</v>
      </c>
      <c r="N9" s="11" t="n">
        <v>4.7219900563459</v>
      </c>
      <c r="O9" s="12" t="n">
        <v>0.975947055695236</v>
      </c>
      <c r="P9" s="12" t="n">
        <v>0.98773343209054</v>
      </c>
      <c r="Q9" s="4" t="n">
        <f aca="false">RANK(N9,$N$7:$N$307,0)</f>
        <v>3</v>
      </c>
      <c r="R9" s="4" t="n">
        <f aca="false">RANK(O9,$O$7:$O$307,1)</f>
        <v>297</v>
      </c>
      <c r="S9" s="4" t="n">
        <f aca="false">RANK(J9,$J$7:$J$307,0)</f>
        <v>4</v>
      </c>
      <c r="T9" s="4" t="str">
        <f aca="false">IF(O9&lt;0.05,"YES","no")</f>
        <v>no</v>
      </c>
      <c r="U9" s="4" t="str">
        <f aca="false">IF(P9&lt;0.05,"YES","no")</f>
        <v>no</v>
      </c>
      <c r="V9" s="4" t="str">
        <f aca="false">IF(N9&gt;1,"YES","no")</f>
        <v>YES</v>
      </c>
    </row>
    <row r="10" customFormat="false" ht="15" hidden="false" customHeight="false" outlineLevel="0" collapsed="false">
      <c r="A10" s="4" t="s">
        <v>65</v>
      </c>
      <c r="B10" s="4"/>
      <c r="C10" s="4" t="s">
        <v>61</v>
      </c>
      <c r="D10" s="8" t="n">
        <v>118.08616</v>
      </c>
      <c r="E10" s="9" t="n">
        <v>10.135</v>
      </c>
      <c r="F10" s="10" t="n">
        <v>519863127.607792</v>
      </c>
      <c r="G10" s="10" t="n">
        <v>186740738.462875</v>
      </c>
      <c r="H10" s="10" t="n">
        <v>773097006.814866</v>
      </c>
      <c r="I10" s="10" t="n">
        <v>155904031.464814</v>
      </c>
      <c r="J10" s="10" t="n">
        <v>646480067.211329</v>
      </c>
      <c r="K10" s="11" t="n">
        <v>1.48711644615451</v>
      </c>
      <c r="L10" s="11" t="n">
        <v>0.572517619624448</v>
      </c>
      <c r="M10" s="11" t="n">
        <v>0.627698455966066</v>
      </c>
      <c r="N10" s="11" t="n">
        <v>4.25936148842885</v>
      </c>
      <c r="O10" s="12" t="n">
        <v>0.0295344892842727</v>
      </c>
      <c r="P10" s="12" t="n">
        <v>0.117408171542455</v>
      </c>
      <c r="Q10" s="4" t="n">
        <f aca="false">RANK(N10,$N$7:$N$307,0)</f>
        <v>4</v>
      </c>
      <c r="R10" s="4" t="n">
        <f aca="false">RANK(O10,$O$7:$O$307,1)</f>
        <v>75</v>
      </c>
      <c r="S10" s="4" t="n">
        <f aca="false">RANK(J10,$J$7:$J$307,0)</f>
        <v>3</v>
      </c>
      <c r="T10" s="4" t="str">
        <f aca="false">IF(O10&lt;0.05,"YES","no")</f>
        <v>YES</v>
      </c>
      <c r="U10" s="4" t="str">
        <f aca="false">IF(P10&lt;0.05,"YES","no")</f>
        <v>no</v>
      </c>
      <c r="V10" s="4" t="str">
        <f aca="false">IF(N10&gt;1,"YES","no")</f>
        <v>YES</v>
      </c>
    </row>
    <row r="11" customFormat="false" ht="15" hidden="false" customHeight="false" outlineLevel="0" collapsed="false">
      <c r="A11" s="4" t="s">
        <v>66</v>
      </c>
      <c r="B11" s="4"/>
      <c r="C11" s="4" t="s">
        <v>61</v>
      </c>
      <c r="D11" s="8" t="n">
        <v>147.07637</v>
      </c>
      <c r="E11" s="9" t="n">
        <v>11.11</v>
      </c>
      <c r="F11" s="10" t="n">
        <v>195574606.59377</v>
      </c>
      <c r="G11" s="10" t="n">
        <v>67193448.8860608</v>
      </c>
      <c r="H11" s="10" t="n">
        <v>325201337.206349</v>
      </c>
      <c r="I11" s="10" t="n">
        <v>50444058.4982317</v>
      </c>
      <c r="J11" s="10" t="n">
        <v>260387971.90006</v>
      </c>
      <c r="K11" s="11" t="n">
        <v>1.66279939338867</v>
      </c>
      <c r="L11" s="11" t="n">
        <v>0.733614126760683</v>
      </c>
      <c r="M11" s="11" t="n">
        <v>0.766914312840368</v>
      </c>
      <c r="N11" s="11" t="n">
        <v>3.43191298142669</v>
      </c>
      <c r="O11" s="12" t="n">
        <v>0.00412402479905024</v>
      </c>
      <c r="P11" s="12" t="n">
        <v>0.0804254332941195</v>
      </c>
      <c r="Q11" s="4" t="n">
        <f aca="false">RANK(N11,$N$7:$N$307,0)</f>
        <v>5</v>
      </c>
      <c r="R11" s="4" t="n">
        <f aca="false">RANK(O11,$O$7:$O$307,1)</f>
        <v>14</v>
      </c>
      <c r="S11" s="4" t="n">
        <f aca="false">RANK(J11,$J$7:$J$307,0)</f>
        <v>8</v>
      </c>
      <c r="T11" s="4" t="str">
        <f aca="false">IF(O11&lt;0.05,"YES","no")</f>
        <v>YES</v>
      </c>
      <c r="U11" s="4" t="str">
        <f aca="false">IF(P11&lt;0.05,"YES","no")</f>
        <v>no</v>
      </c>
      <c r="V11" s="4" t="str">
        <f aca="false">IF(N11&gt;1,"YES","no")</f>
        <v>YES</v>
      </c>
    </row>
    <row r="12" customFormat="false" ht="15" hidden="false" customHeight="false" outlineLevel="0" collapsed="false">
      <c r="A12" s="4" t="s">
        <v>67</v>
      </c>
      <c r="B12" s="4" t="s">
        <v>68</v>
      </c>
      <c r="C12" s="4" t="s">
        <v>61</v>
      </c>
      <c r="D12" s="8" t="n">
        <v>126.0218</v>
      </c>
      <c r="E12" s="9" t="n">
        <v>10.855</v>
      </c>
      <c r="F12" s="10" t="n">
        <v>309957493.425844</v>
      </c>
      <c r="G12" s="10" t="n">
        <v>107470994.667724</v>
      </c>
      <c r="H12" s="10" t="n">
        <v>440434846.736716</v>
      </c>
      <c r="I12" s="10" t="n">
        <v>65994926.1311768</v>
      </c>
      <c r="J12" s="10" t="n">
        <v>375196170.08128</v>
      </c>
      <c r="K12" s="11" t="n">
        <v>1.42095240824397</v>
      </c>
      <c r="L12" s="11" t="n">
        <v>0.50685823541094</v>
      </c>
      <c r="M12" s="11" t="n">
        <v>0.625352086321182</v>
      </c>
      <c r="N12" s="11" t="n">
        <v>3.04067526122463</v>
      </c>
      <c r="O12" s="12" t="n">
        <v>0.0340345002776167</v>
      </c>
      <c r="P12" s="12" t="n">
        <v>0.129675754222312</v>
      </c>
      <c r="Q12" s="4" t="n">
        <f aca="false">RANK(N12,$N$7:$N$307,0)</f>
        <v>6</v>
      </c>
      <c r="R12" s="4" t="n">
        <f aca="false">RANK(O12,$O$7:$O$307,1)</f>
        <v>79</v>
      </c>
      <c r="S12" s="4" t="n">
        <f aca="false">RANK(J12,$J$7:$J$307,0)</f>
        <v>5</v>
      </c>
      <c r="T12" s="4" t="str">
        <f aca="false">IF(O12&lt;0.05,"YES","no")</f>
        <v>YES</v>
      </c>
      <c r="U12" s="4" t="str">
        <f aca="false">IF(P12&lt;0.05,"YES","no")</f>
        <v>no</v>
      </c>
      <c r="V12" s="4" t="str">
        <f aca="false">IF(N12&gt;1,"YES","no")</f>
        <v>YES</v>
      </c>
    </row>
    <row r="13" customFormat="false" ht="15" hidden="false" customHeight="false" outlineLevel="0" collapsed="false">
      <c r="A13" s="4" t="s">
        <v>69</v>
      </c>
      <c r="B13" s="4"/>
      <c r="C13" s="4" t="s">
        <v>61</v>
      </c>
      <c r="D13" s="8" t="n">
        <v>123.05518</v>
      </c>
      <c r="E13" s="9" t="n">
        <v>6.893</v>
      </c>
      <c r="F13" s="10" t="n">
        <v>168865076.208941</v>
      </c>
      <c r="G13" s="10" t="n">
        <v>42910269.3723002</v>
      </c>
      <c r="H13" s="10" t="n">
        <v>270019056.715531</v>
      </c>
      <c r="I13" s="10" t="n">
        <v>54910642.2732877</v>
      </c>
      <c r="J13" s="10" t="n">
        <v>219442066.462236</v>
      </c>
      <c r="K13" s="11" t="n">
        <v>1.5990225023286</v>
      </c>
      <c r="L13" s="11" t="n">
        <v>0.677190241363242</v>
      </c>
      <c r="M13" s="11" t="n">
        <v>0.747216137619854</v>
      </c>
      <c r="N13" s="11" t="n">
        <v>3.02048914903061</v>
      </c>
      <c r="O13" s="12" t="n">
        <v>0.00570611229247402</v>
      </c>
      <c r="P13" s="12" t="n">
        <v>0.0807692088686714</v>
      </c>
      <c r="Q13" s="4" t="n">
        <f aca="false">RANK(N13,$N$7:$N$307,0)</f>
        <v>7</v>
      </c>
      <c r="R13" s="4" t="n">
        <f aca="false">RANK(O13,$O$7:$O$307,1)</f>
        <v>18</v>
      </c>
      <c r="S13" s="4" t="n">
        <f aca="false">RANK(J13,$J$7:$J$307,0)</f>
        <v>9</v>
      </c>
      <c r="T13" s="4" t="str">
        <f aca="false">IF(O13&lt;0.05,"YES","no")</f>
        <v>YES</v>
      </c>
      <c r="U13" s="4" t="str">
        <f aca="false">IF(P13&lt;0.05,"YES","no")</f>
        <v>no</v>
      </c>
      <c r="V13" s="4" t="str">
        <f aca="false">IF(N13&gt;1,"YES","no")</f>
        <v>YES</v>
      </c>
    </row>
    <row r="14" customFormat="false" ht="15" hidden="false" customHeight="false" outlineLevel="0" collapsed="false">
      <c r="A14" s="4" t="s">
        <v>70</v>
      </c>
      <c r="B14" s="4" t="s">
        <v>71</v>
      </c>
      <c r="C14" s="4" t="s">
        <v>72</v>
      </c>
      <c r="D14" s="8" t="n">
        <v>89.02433</v>
      </c>
      <c r="E14" s="9" t="n">
        <v>7.221</v>
      </c>
      <c r="F14" s="10" t="n">
        <v>263612091.781113</v>
      </c>
      <c r="G14" s="10" t="n">
        <v>237436047.777027</v>
      </c>
      <c r="H14" s="10" t="n">
        <v>351658174.390843</v>
      </c>
      <c r="I14" s="10" t="n">
        <v>110593235.916316</v>
      </c>
      <c r="J14" s="10" t="n">
        <v>307635133.085978</v>
      </c>
      <c r="K14" s="11" t="n">
        <v>1.33399864935952</v>
      </c>
      <c r="L14" s="11" t="n">
        <v>0.415757205830364</v>
      </c>
      <c r="M14" s="11" t="n">
        <v>0.251975380551782</v>
      </c>
      <c r="N14" s="11" t="n">
        <v>2.92642327584126</v>
      </c>
      <c r="O14" s="12" t="n">
        <v>0.437171621731723</v>
      </c>
      <c r="P14" s="12" t="n">
        <v>0.574622961315497</v>
      </c>
      <c r="Q14" s="4" t="n">
        <f aca="false">RANK(N14,$N$7:$N$307,0)</f>
        <v>8</v>
      </c>
      <c r="R14" s="4" t="n">
        <f aca="false">RANK(O14,$O$7:$O$307,1)</f>
        <v>229</v>
      </c>
      <c r="S14" s="4" t="n">
        <f aca="false">RANK(J14,$J$7:$J$307,0)</f>
        <v>7</v>
      </c>
      <c r="T14" s="4" t="str">
        <f aca="false">IF(O14&lt;0.05,"YES","no")</f>
        <v>no</v>
      </c>
      <c r="U14" s="4" t="str">
        <f aca="false">IF(P14&lt;0.05,"YES","no")</f>
        <v>no</v>
      </c>
      <c r="V14" s="4" t="str">
        <f aca="false">IF(N14&gt;1,"YES","no")</f>
        <v>YES</v>
      </c>
    </row>
    <row r="15" customFormat="false" ht="15" hidden="false" customHeight="false" outlineLevel="0" collapsed="false">
      <c r="A15" s="4" t="s">
        <v>73</v>
      </c>
      <c r="B15" s="4"/>
      <c r="C15" s="4" t="s">
        <v>61</v>
      </c>
      <c r="D15" s="8" t="n">
        <v>116.07051</v>
      </c>
      <c r="E15" s="9" t="n">
        <v>10.722</v>
      </c>
      <c r="F15" s="10" t="n">
        <v>163101796.67477</v>
      </c>
      <c r="G15" s="10" t="n">
        <v>91496711.7616016</v>
      </c>
      <c r="H15" s="10" t="n">
        <v>266264563.230933</v>
      </c>
      <c r="I15" s="10" t="n">
        <v>45270065.5391442</v>
      </c>
      <c r="J15" s="10" t="n">
        <v>214683179.952851</v>
      </c>
      <c r="K15" s="11" t="n">
        <v>1.63250539638059</v>
      </c>
      <c r="L15" s="11" t="n">
        <v>0.707087760726471</v>
      </c>
      <c r="M15" s="11" t="n">
        <v>0.616395100743569</v>
      </c>
      <c r="N15" s="11" t="n">
        <v>2.7063172155826</v>
      </c>
      <c r="O15" s="12" t="n">
        <v>0.041093627158872</v>
      </c>
      <c r="P15" s="12" t="n">
        <v>0.150843680180737</v>
      </c>
      <c r="Q15" s="4" t="n">
        <f aca="false">RANK(N15,$N$7:$N$307,0)</f>
        <v>9</v>
      </c>
      <c r="R15" s="4" t="n">
        <f aca="false">RANK(O15,$O$7:$O$307,1)</f>
        <v>82</v>
      </c>
      <c r="S15" s="4" t="n">
        <f aca="false">RANK(J15,$J$7:$J$307,0)</f>
        <v>10</v>
      </c>
      <c r="T15" s="4" t="str">
        <f aca="false">IF(O15&lt;0.05,"YES","no")</f>
        <v>YES</v>
      </c>
      <c r="U15" s="4" t="str">
        <f aca="false">IF(P15&lt;0.05,"YES","no")</f>
        <v>no</v>
      </c>
      <c r="V15" s="4" t="str">
        <f aca="false">IF(N15&gt;1,"YES","no")</f>
        <v>YES</v>
      </c>
    </row>
    <row r="16" customFormat="false" ht="15" hidden="false" customHeight="false" outlineLevel="0" collapsed="false">
      <c r="A16" s="4" t="s">
        <v>74</v>
      </c>
      <c r="B16" s="4"/>
      <c r="C16" s="4" t="s">
        <v>61</v>
      </c>
      <c r="D16" s="8" t="n">
        <v>148.06035</v>
      </c>
      <c r="E16" s="9" t="n">
        <v>9.8</v>
      </c>
      <c r="F16" s="10" t="n">
        <v>141053605.336107</v>
      </c>
      <c r="G16" s="10" t="n">
        <v>44267004.801289</v>
      </c>
      <c r="H16" s="10" t="n">
        <v>207927536.456768</v>
      </c>
      <c r="I16" s="10" t="n">
        <v>22216326.8403197</v>
      </c>
      <c r="J16" s="10" t="n">
        <v>174490570.896438</v>
      </c>
      <c r="K16" s="11" t="n">
        <v>1.47410295512343</v>
      </c>
      <c r="L16" s="11" t="n">
        <v>0.559837289466173</v>
      </c>
      <c r="M16" s="11" t="n">
        <v>0.722774439669003</v>
      </c>
      <c r="N16" s="11" t="n">
        <v>2.39937492235956</v>
      </c>
      <c r="O16" s="12" t="n">
        <v>0.0120684945273768</v>
      </c>
      <c r="P16" s="12" t="n">
        <v>0.0807692088686714</v>
      </c>
      <c r="Q16" s="4" t="n">
        <f aca="false">RANK(N16,$N$7:$N$307,0)</f>
        <v>10</v>
      </c>
      <c r="R16" s="4" t="n">
        <f aca="false">RANK(O16,$O$7:$O$307,1)</f>
        <v>43</v>
      </c>
      <c r="S16" s="4" t="n">
        <f aca="false">RANK(J16,$J$7:$J$307,0)</f>
        <v>12</v>
      </c>
      <c r="T16" s="4" t="str">
        <f aca="false">IF(O16&lt;0.05,"YES","no")</f>
        <v>YES</v>
      </c>
      <c r="U16" s="4" t="str">
        <f aca="false">IF(P16&lt;0.05,"YES","no")</f>
        <v>no</v>
      </c>
      <c r="V16" s="4" t="str">
        <f aca="false">IF(N16&gt;1,"YES","no")</f>
        <v>YES</v>
      </c>
    </row>
    <row r="17" customFormat="false" ht="15" hidden="false" customHeight="false" outlineLevel="0" collapsed="false">
      <c r="A17" s="4" t="s">
        <v>75</v>
      </c>
      <c r="B17" s="4"/>
      <c r="C17" s="4" t="s">
        <v>61</v>
      </c>
      <c r="D17" s="8" t="n">
        <v>348.07036</v>
      </c>
      <c r="E17" s="9" t="n">
        <v>9.071</v>
      </c>
      <c r="F17" s="10" t="n">
        <v>108603470.363066</v>
      </c>
      <c r="G17" s="10" t="n">
        <v>41235866.239223</v>
      </c>
      <c r="H17" s="10" t="n">
        <v>175738879.408024</v>
      </c>
      <c r="I17" s="10" t="n">
        <v>34497529.0779095</v>
      </c>
      <c r="J17" s="10" t="n">
        <v>142171174.885545</v>
      </c>
      <c r="K17" s="11" t="n">
        <v>1.61817001630354</v>
      </c>
      <c r="L17" s="11" t="n">
        <v>0.694363195402025</v>
      </c>
      <c r="M17" s="11" t="n">
        <v>0.69524198043695</v>
      </c>
      <c r="N17" s="11" t="n">
        <v>2.31679521252351</v>
      </c>
      <c r="O17" s="12" t="n">
        <v>0.0124917232020336</v>
      </c>
      <c r="P17" s="12" t="n">
        <v>0.0807692088686714</v>
      </c>
      <c r="Q17" s="4" t="n">
        <f aca="false">RANK(N17,$N$7:$N$307,0)</f>
        <v>11</v>
      </c>
      <c r="R17" s="4" t="n">
        <f aca="false">RANK(O17,$O$7:$O$307,1)</f>
        <v>46</v>
      </c>
      <c r="S17" s="4" t="n">
        <f aca="false">RANK(J17,$J$7:$J$307,0)</f>
        <v>14</v>
      </c>
      <c r="T17" s="4" t="str">
        <f aca="false">IF(O17&lt;0.05,"YES","no")</f>
        <v>YES</v>
      </c>
      <c r="U17" s="4" t="str">
        <f aca="false">IF(P17&lt;0.05,"YES","no")</f>
        <v>no</v>
      </c>
      <c r="V17" s="4" t="str">
        <f aca="false">IF(N17&gt;1,"YES","no")</f>
        <v>YES</v>
      </c>
    </row>
    <row r="18" customFormat="false" ht="15" hidden="false" customHeight="false" outlineLevel="0" collapsed="false">
      <c r="A18" s="4" t="s">
        <v>76</v>
      </c>
      <c r="B18" s="4"/>
      <c r="C18" s="4" t="s">
        <v>72</v>
      </c>
      <c r="D18" s="8" t="n">
        <v>160.13315</v>
      </c>
      <c r="E18" s="9" t="n">
        <v>12.211</v>
      </c>
      <c r="F18" s="10" t="n">
        <v>52606280.9382984</v>
      </c>
      <c r="G18" s="10" t="n">
        <v>16530598.0274646</v>
      </c>
      <c r="H18" s="10" t="n">
        <v>99230047.4834573</v>
      </c>
      <c r="I18" s="10" t="n">
        <v>22862416.6958892</v>
      </c>
      <c r="J18" s="10" t="n">
        <v>75918164.2108779</v>
      </c>
      <c r="K18" s="11" t="n">
        <v>1.88627756445744</v>
      </c>
      <c r="L18" s="11" t="n">
        <v>0.915541983225379</v>
      </c>
      <c r="M18" s="11" t="n">
        <v>0.788044941510971</v>
      </c>
      <c r="N18" s="11" t="n">
        <v>2.21050742666389</v>
      </c>
      <c r="O18" s="12" t="n">
        <v>0.00282471590510365</v>
      </c>
      <c r="P18" s="12" t="n">
        <v>0.0772944988578363</v>
      </c>
      <c r="Q18" s="4" t="n">
        <f aca="false">RANK(N18,$N$7:$N$307,0)</f>
        <v>12</v>
      </c>
      <c r="R18" s="4" t="n">
        <f aca="false">RANK(O18,$O$7:$O$307,1)</f>
        <v>11</v>
      </c>
      <c r="S18" s="4" t="n">
        <f aca="false">RANK(J18,$J$7:$J$307,0)</f>
        <v>25</v>
      </c>
      <c r="T18" s="4" t="str">
        <f aca="false">IF(O18&lt;0.05,"YES","no")</f>
        <v>YES</v>
      </c>
      <c r="U18" s="4" t="str">
        <f aca="false">IF(P18&lt;0.05,"YES","no")</f>
        <v>no</v>
      </c>
      <c r="V18" s="4" t="str">
        <f aca="false">IF(N18&gt;1,"YES","no")</f>
        <v>YES</v>
      </c>
    </row>
    <row r="19" customFormat="false" ht="15" hidden="false" customHeight="false" outlineLevel="0" collapsed="false">
      <c r="A19" s="4" t="s">
        <v>77</v>
      </c>
      <c r="B19" s="4"/>
      <c r="C19" s="4" t="s">
        <v>72</v>
      </c>
      <c r="D19" s="8" t="n">
        <v>96.96949</v>
      </c>
      <c r="E19" s="9" t="n">
        <v>10.445</v>
      </c>
      <c r="F19" s="10" t="n">
        <v>138520180.887744</v>
      </c>
      <c r="G19" s="10" t="n">
        <v>67269447.3245092</v>
      </c>
      <c r="H19" s="10" t="n">
        <v>206100018.489657</v>
      </c>
      <c r="I19" s="10" t="n">
        <v>33383156.0311066</v>
      </c>
      <c r="J19" s="10" t="n">
        <v>172310099.688701</v>
      </c>
      <c r="K19" s="11" t="n">
        <v>1.4878699779975</v>
      </c>
      <c r="L19" s="11" t="n">
        <v>0.573248457699847</v>
      </c>
      <c r="M19" s="11" t="n">
        <v>0.571840687441114</v>
      </c>
      <c r="N19" s="11" t="n">
        <v>2.18362972184607</v>
      </c>
      <c r="O19" s="12" t="n">
        <v>0.0616612994620791</v>
      </c>
      <c r="P19" s="12" t="n">
        <v>0.172868249839214</v>
      </c>
      <c r="Q19" s="4" t="n">
        <f aca="false">RANK(N19,$N$7:$N$307,0)</f>
        <v>13</v>
      </c>
      <c r="R19" s="4" t="n">
        <f aca="false">RANK(O19,$O$7:$O$307,1)</f>
        <v>105</v>
      </c>
      <c r="S19" s="4" t="n">
        <f aca="false">RANK(J19,$J$7:$J$307,0)</f>
        <v>13</v>
      </c>
      <c r="T19" s="4" t="str">
        <f aca="false">IF(O19&lt;0.05,"YES","no")</f>
        <v>no</v>
      </c>
      <c r="U19" s="4" t="str">
        <f aca="false">IF(P19&lt;0.05,"YES","no")</f>
        <v>no</v>
      </c>
      <c r="V19" s="4" t="str">
        <f aca="false">IF(N19&gt;1,"YES","no")</f>
        <v>YES</v>
      </c>
    </row>
    <row r="20" customFormat="false" ht="15" hidden="false" customHeight="false" outlineLevel="0" collapsed="false">
      <c r="A20" s="4" t="s">
        <v>78</v>
      </c>
      <c r="B20" s="4"/>
      <c r="C20" s="4" t="s">
        <v>61</v>
      </c>
      <c r="D20" s="8" t="n">
        <v>156.0766</v>
      </c>
      <c r="E20" s="9" t="n">
        <v>13.639</v>
      </c>
      <c r="F20" s="10" t="n">
        <v>78099745.0576277</v>
      </c>
      <c r="G20" s="10" t="n">
        <v>39852249.3910862</v>
      </c>
      <c r="H20" s="10" t="n">
        <v>135590642.532228</v>
      </c>
      <c r="I20" s="10" t="n">
        <v>23308908.7524036</v>
      </c>
      <c r="J20" s="10" t="n">
        <v>106845193.794928</v>
      </c>
      <c r="K20" s="11" t="n">
        <v>1.73612144869589</v>
      </c>
      <c r="L20" s="11" t="n">
        <v>0.795867873647998</v>
      </c>
      <c r="M20" s="11" t="n">
        <v>0.694239584778708</v>
      </c>
      <c r="N20" s="11" t="n">
        <v>2.13604526456977</v>
      </c>
      <c r="O20" s="12" t="n">
        <v>0.0156707372769106</v>
      </c>
      <c r="P20" s="12" t="n">
        <v>0.0907094600067324</v>
      </c>
      <c r="Q20" s="4" t="n">
        <f aca="false">RANK(N20,$N$7:$N$307,0)</f>
        <v>14</v>
      </c>
      <c r="R20" s="4" t="n">
        <f aca="false">RANK(O20,$O$7:$O$307,1)</f>
        <v>52</v>
      </c>
      <c r="S20" s="4" t="n">
        <f aca="false">RANK(J20,$J$7:$J$307,0)</f>
        <v>17</v>
      </c>
      <c r="T20" s="4" t="str">
        <f aca="false">IF(O20&lt;0.05,"YES","no")</f>
        <v>YES</v>
      </c>
      <c r="U20" s="4" t="str">
        <f aca="false">IF(P20&lt;0.05,"YES","no")</f>
        <v>no</v>
      </c>
      <c r="V20" s="4" t="str">
        <f aca="false">IF(N20&gt;1,"YES","no")</f>
        <v>YES</v>
      </c>
    </row>
    <row r="21" customFormat="false" ht="15" hidden="false" customHeight="false" outlineLevel="0" collapsed="false">
      <c r="A21" s="4" t="s">
        <v>79</v>
      </c>
      <c r="B21" s="4"/>
      <c r="C21" s="4" t="s">
        <v>61</v>
      </c>
      <c r="D21" s="8" t="n">
        <v>268.104</v>
      </c>
      <c r="E21" s="9" t="n">
        <v>8.014</v>
      </c>
      <c r="F21" s="10" t="n">
        <v>150188480.5536</v>
      </c>
      <c r="G21" s="10" t="n">
        <v>43538726.3546118</v>
      </c>
      <c r="H21" s="10" t="n">
        <v>214618585.551662</v>
      </c>
      <c r="I21" s="10" t="n">
        <v>56093349.984149</v>
      </c>
      <c r="J21" s="10" t="n">
        <v>182403533.052631</v>
      </c>
      <c r="K21" s="11" t="n">
        <v>1.42899498523835</v>
      </c>
      <c r="L21" s="11" t="n">
        <v>0.515000853603458</v>
      </c>
      <c r="M21" s="11" t="n">
        <v>0.575023307587341</v>
      </c>
      <c r="N21" s="11" t="n">
        <v>2.04921529581637</v>
      </c>
      <c r="O21" s="12" t="n">
        <v>0.0520567763212195</v>
      </c>
      <c r="P21" s="12" t="n">
        <v>0.166692443326458</v>
      </c>
      <c r="Q21" s="4" t="n">
        <f aca="false">RANK(N21,$N$7:$N$307,0)</f>
        <v>15</v>
      </c>
      <c r="R21" s="4" t="n">
        <f aca="false">RANK(O21,$O$7:$O$307,1)</f>
        <v>94</v>
      </c>
      <c r="S21" s="4" t="n">
        <f aca="false">RANK(J21,$J$7:$J$307,0)</f>
        <v>11</v>
      </c>
      <c r="T21" s="4" t="str">
        <f aca="false">IF(O21&lt;0.05,"YES","no")</f>
        <v>no</v>
      </c>
      <c r="U21" s="4" t="str">
        <f aca="false">IF(P21&lt;0.05,"YES","no")</f>
        <v>no</v>
      </c>
      <c r="V21" s="4" t="str">
        <f aca="false">IF(N21&gt;1,"YES","no")</f>
        <v>YES</v>
      </c>
    </row>
    <row r="22" customFormat="false" ht="15" hidden="false" customHeight="false" outlineLevel="0" collapsed="false">
      <c r="A22" s="4" t="s">
        <v>80</v>
      </c>
      <c r="B22" s="4"/>
      <c r="C22" s="4" t="s">
        <v>61</v>
      </c>
      <c r="D22" s="8" t="n">
        <v>139.05016</v>
      </c>
      <c r="E22" s="9" t="n">
        <v>8.782</v>
      </c>
      <c r="F22" s="10" t="n">
        <v>88609976.7864168</v>
      </c>
      <c r="G22" s="10" t="n">
        <v>50115635.1072807</v>
      </c>
      <c r="H22" s="10" t="n">
        <v>74377173.6487122</v>
      </c>
      <c r="I22" s="10" t="n">
        <v>14913124.481011</v>
      </c>
      <c r="J22" s="10" t="n">
        <v>81493575.2175645</v>
      </c>
      <c r="K22" s="11" t="n">
        <v>0.839376967990738</v>
      </c>
      <c r="L22" s="11" t="n">
        <v>-0.252609217822012</v>
      </c>
      <c r="M22" s="11" t="n">
        <v>0.206311449090053</v>
      </c>
      <c r="N22" s="11" t="n">
        <v>2.01403817263905</v>
      </c>
      <c r="O22" s="12" t="n">
        <v>0.530209564875649</v>
      </c>
      <c r="P22" s="12" t="n">
        <v>0.670559155578026</v>
      </c>
      <c r="Q22" s="4" t="n">
        <f aca="false">RANK(N22,$N$7:$N$307,0)</f>
        <v>16</v>
      </c>
      <c r="R22" s="4" t="n">
        <f aca="false">RANK(O22,$O$7:$O$307,1)</f>
        <v>238</v>
      </c>
      <c r="S22" s="4" t="n">
        <f aca="false">RANK(J22,$J$7:$J$307,0)</f>
        <v>23</v>
      </c>
      <c r="T22" s="4" t="str">
        <f aca="false">IF(O22&lt;0.05,"YES","no")</f>
        <v>no</v>
      </c>
      <c r="U22" s="4" t="str">
        <f aca="false">IF(P22&lt;0.05,"YES","no")</f>
        <v>no</v>
      </c>
      <c r="V22" s="4" t="str">
        <f aca="false">IF(N22&gt;1,"YES","no")</f>
        <v>YES</v>
      </c>
    </row>
    <row r="23" customFormat="false" ht="15" hidden="false" customHeight="false" outlineLevel="0" collapsed="false">
      <c r="A23" s="4" t="s">
        <v>81</v>
      </c>
      <c r="B23" s="4"/>
      <c r="C23" s="4" t="s">
        <v>61</v>
      </c>
      <c r="D23" s="8" t="n">
        <v>184.07327</v>
      </c>
      <c r="E23" s="9" t="n">
        <v>11.86</v>
      </c>
      <c r="F23" s="10" t="n">
        <v>48471178.912</v>
      </c>
      <c r="G23" s="10" t="n">
        <v>41271154.2805211</v>
      </c>
      <c r="H23" s="10" t="n">
        <v>104112960.351292</v>
      </c>
      <c r="I23" s="10" t="n">
        <v>42733611.2553203</v>
      </c>
      <c r="J23" s="10" t="n">
        <v>76292069.6316462</v>
      </c>
      <c r="K23" s="11" t="n">
        <v>2.14793538527938</v>
      </c>
      <c r="L23" s="11" t="n">
        <v>1.10295059446899</v>
      </c>
      <c r="M23" s="11" t="n">
        <v>0.587219087656763</v>
      </c>
      <c r="N23" s="11" t="n">
        <v>1.9482106252314</v>
      </c>
      <c r="O23" s="12" t="n">
        <v>0.0447268485178873</v>
      </c>
      <c r="P23" s="12" t="n">
        <v>0.154889976149417</v>
      </c>
      <c r="Q23" s="4" t="n">
        <f aca="false">RANK(N23,$N$7:$N$307,0)</f>
        <v>17</v>
      </c>
      <c r="R23" s="4" t="n">
        <f aca="false">RANK(O23,$O$7:$O$307,1)</f>
        <v>86</v>
      </c>
      <c r="S23" s="4" t="n">
        <f aca="false">RANK(J23,$J$7:$J$307,0)</f>
        <v>24</v>
      </c>
      <c r="T23" s="4" t="str">
        <f aca="false">IF(O23&lt;0.05,"YES","no")</f>
        <v>YES</v>
      </c>
      <c r="U23" s="4" t="str">
        <f aca="false">IF(P23&lt;0.05,"YES","no")</f>
        <v>no</v>
      </c>
      <c r="V23" s="4" t="str">
        <f aca="false">IF(N23&gt;1,"YES","no")</f>
        <v>YES</v>
      </c>
    </row>
    <row r="24" customFormat="false" ht="15" hidden="false" customHeight="false" outlineLevel="0" collapsed="false">
      <c r="A24" s="4" t="s">
        <v>82</v>
      </c>
      <c r="B24" s="4"/>
      <c r="C24" s="4" t="s">
        <v>61</v>
      </c>
      <c r="D24" s="8" t="n">
        <v>166.08629</v>
      </c>
      <c r="E24" s="9" t="n">
        <v>8.757</v>
      </c>
      <c r="F24" s="10" t="n">
        <v>33378281.8947322</v>
      </c>
      <c r="G24" s="10" t="n">
        <v>13592983.3156472</v>
      </c>
      <c r="H24" s="10" t="n">
        <v>67706988.4555521</v>
      </c>
      <c r="I24" s="10" t="n">
        <v>13011524.9067565</v>
      </c>
      <c r="J24" s="10" t="n">
        <v>50542635.1751421</v>
      </c>
      <c r="K24" s="11" t="n">
        <v>2.02847434355924</v>
      </c>
      <c r="L24" s="11" t="n">
        <v>1.02039505524129</v>
      </c>
      <c r="M24" s="11" t="n">
        <v>0.816292286929491</v>
      </c>
      <c r="N24" s="11" t="n">
        <v>1.83463050083161</v>
      </c>
      <c r="O24" s="12" t="n">
        <v>0.00120535136948514</v>
      </c>
      <c r="P24" s="12" t="n">
        <v>0.0635709329196314</v>
      </c>
      <c r="Q24" s="4" t="n">
        <f aca="false">RANK(N24,$N$7:$N$307,0)</f>
        <v>18</v>
      </c>
      <c r="R24" s="4" t="n">
        <f aca="false">RANK(O24,$O$7:$O$307,1)</f>
        <v>5</v>
      </c>
      <c r="S24" s="4" t="n">
        <f aca="false">RANK(J24,$J$7:$J$307,0)</f>
        <v>31</v>
      </c>
      <c r="T24" s="4" t="str">
        <f aca="false">IF(O24&lt;0.05,"YES","no")</f>
        <v>YES</v>
      </c>
      <c r="U24" s="4" t="str">
        <f aca="false">IF(P24&lt;0.05,"YES","no")</f>
        <v>no</v>
      </c>
      <c r="V24" s="4" t="str">
        <f aca="false">IF(N24&gt;1,"YES","no")</f>
        <v>YES</v>
      </c>
    </row>
    <row r="25" customFormat="false" ht="15" hidden="false" customHeight="false" outlineLevel="0" collapsed="false">
      <c r="A25" s="4" t="s">
        <v>83</v>
      </c>
      <c r="B25" s="4" t="s">
        <v>84</v>
      </c>
      <c r="C25" s="4" t="s">
        <v>61</v>
      </c>
      <c r="D25" s="8" t="n">
        <v>175.11886</v>
      </c>
      <c r="E25" s="9" t="n">
        <v>18.84</v>
      </c>
      <c r="F25" s="10" t="n">
        <v>43043161.5332928</v>
      </c>
      <c r="G25" s="10" t="n">
        <v>28798033.7006866</v>
      </c>
      <c r="H25" s="10" t="n">
        <v>82926199.3758802</v>
      </c>
      <c r="I25" s="10" t="n">
        <v>19826976.6616057</v>
      </c>
      <c r="J25" s="10" t="n">
        <v>62984680.4545865</v>
      </c>
      <c r="K25" s="11" t="n">
        <v>1.92658244473373</v>
      </c>
      <c r="L25" s="11" t="n">
        <v>0.946043924935173</v>
      </c>
      <c r="M25" s="11" t="n">
        <v>0.66214273962381</v>
      </c>
      <c r="N25" s="11" t="n">
        <v>1.72933750351632</v>
      </c>
      <c r="O25" s="12" t="n">
        <v>0.0211980884547713</v>
      </c>
      <c r="P25" s="12" t="n">
        <v>0.0996972597638464</v>
      </c>
      <c r="Q25" s="4" t="n">
        <f aca="false">RANK(N25,$N$7:$N$307,0)</f>
        <v>19</v>
      </c>
      <c r="R25" s="4" t="n">
        <f aca="false">RANK(O25,$O$7:$O$307,1)</f>
        <v>64</v>
      </c>
      <c r="S25" s="4" t="n">
        <f aca="false">RANK(J25,$J$7:$J$307,0)</f>
        <v>28</v>
      </c>
      <c r="T25" s="4" t="str">
        <f aca="false">IF(O25&lt;0.05,"YES","no")</f>
        <v>YES</v>
      </c>
      <c r="U25" s="4" t="str">
        <f aca="false">IF(P25&lt;0.05,"YES","no")</f>
        <v>no</v>
      </c>
      <c r="V25" s="4" t="str">
        <f aca="false">IF(N25&gt;1,"YES","no")</f>
        <v>YES</v>
      </c>
    </row>
    <row r="26" customFormat="false" ht="15" hidden="false" customHeight="false" outlineLevel="0" collapsed="false">
      <c r="A26" s="4" t="s">
        <v>85</v>
      </c>
      <c r="B26" s="4"/>
      <c r="C26" s="4" t="s">
        <v>61</v>
      </c>
      <c r="D26" s="8" t="n">
        <v>90.05487</v>
      </c>
      <c r="E26" s="9" t="n">
        <v>11.327</v>
      </c>
      <c r="F26" s="10" t="n">
        <v>72135994.1337891</v>
      </c>
      <c r="G26" s="10" t="n">
        <v>41774654.9741102</v>
      </c>
      <c r="H26" s="10" t="n">
        <v>72674986.7144042</v>
      </c>
      <c r="I26" s="10" t="n">
        <v>19194799.4389985</v>
      </c>
      <c r="J26" s="10" t="n">
        <v>72405490.4240966</v>
      </c>
      <c r="K26" s="11" t="n">
        <v>1.00747189509325</v>
      </c>
      <c r="L26" s="11" t="n">
        <v>0.0107395932196029</v>
      </c>
      <c r="M26" s="11" t="n">
        <v>0.00908098578472682</v>
      </c>
      <c r="N26" s="11" t="n">
        <v>1.66184195347446</v>
      </c>
      <c r="O26" s="12" t="n">
        <v>0.977888912833823</v>
      </c>
      <c r="P26" s="12" t="n">
        <v>0.98773343209054</v>
      </c>
      <c r="Q26" s="4" t="n">
        <f aca="false">RANK(N26,$N$7:$N$307,0)</f>
        <v>20</v>
      </c>
      <c r="R26" s="4" t="n">
        <f aca="false">RANK(O26,$O$7:$O$307,1)</f>
        <v>298</v>
      </c>
      <c r="S26" s="4" t="n">
        <f aca="false">RANK(J26,$J$7:$J$307,0)</f>
        <v>27</v>
      </c>
      <c r="T26" s="4" t="str">
        <f aca="false">IF(O26&lt;0.05,"YES","no")</f>
        <v>no</v>
      </c>
      <c r="U26" s="4" t="str">
        <f aca="false">IF(P26&lt;0.05,"YES","no")</f>
        <v>no</v>
      </c>
      <c r="V26" s="4" t="str">
        <f aca="false">IF(N26&gt;1,"YES","no")</f>
        <v>YES</v>
      </c>
    </row>
    <row r="27" customFormat="false" ht="15" hidden="false" customHeight="false" outlineLevel="0" collapsed="false">
      <c r="A27" s="4" t="s">
        <v>86</v>
      </c>
      <c r="B27" s="4"/>
      <c r="C27" s="4" t="s">
        <v>72</v>
      </c>
      <c r="D27" s="8" t="n">
        <v>258.11003</v>
      </c>
      <c r="E27" s="9" t="n">
        <v>11.271</v>
      </c>
      <c r="F27" s="10" t="n">
        <v>94270142.3302964</v>
      </c>
      <c r="G27" s="10" t="n">
        <v>44420087.5153506</v>
      </c>
      <c r="H27" s="10" t="n">
        <v>134978192.168017</v>
      </c>
      <c r="I27" s="10" t="n">
        <v>26962782.5705527</v>
      </c>
      <c r="J27" s="10" t="n">
        <v>114624167.249157</v>
      </c>
      <c r="K27" s="11" t="n">
        <v>1.43182336242891</v>
      </c>
      <c r="L27" s="11" t="n">
        <v>0.517853524818603</v>
      </c>
      <c r="M27" s="11" t="n">
        <v>0.518779268417116</v>
      </c>
      <c r="N27" s="11" t="n">
        <v>1.62823394753269</v>
      </c>
      <c r="O27" s="12" t="n">
        <v>0.0901819758561844</v>
      </c>
      <c r="P27" s="12" t="n">
        <v>0.218065692470316</v>
      </c>
      <c r="Q27" s="4" t="n">
        <f aca="false">RANK(N27,$N$7:$N$307,0)</f>
        <v>21</v>
      </c>
      <c r="R27" s="4" t="n">
        <f aca="false">RANK(O27,$O$7:$O$307,1)</f>
        <v>123</v>
      </c>
      <c r="S27" s="4" t="n">
        <f aca="false">RANK(J27,$J$7:$J$307,0)</f>
        <v>16</v>
      </c>
      <c r="T27" s="4" t="str">
        <f aca="false">IF(O27&lt;0.05,"YES","no")</f>
        <v>no</v>
      </c>
      <c r="U27" s="4" t="str">
        <f aca="false">IF(P27&lt;0.05,"YES","no")</f>
        <v>no</v>
      </c>
      <c r="V27" s="4" t="str">
        <f aca="false">IF(N27&gt;1,"YES","no")</f>
        <v>YES</v>
      </c>
    </row>
    <row r="28" customFormat="false" ht="15" hidden="false" customHeight="false" outlineLevel="0" collapsed="false">
      <c r="A28" s="4" t="s">
        <v>87</v>
      </c>
      <c r="B28" s="4" t="s">
        <v>88</v>
      </c>
      <c r="C28" s="4" t="s">
        <v>61</v>
      </c>
      <c r="D28" s="8" t="n">
        <v>150.05829</v>
      </c>
      <c r="E28" s="9" t="n">
        <v>9.553</v>
      </c>
      <c r="F28" s="10" t="n">
        <v>42117272.778474</v>
      </c>
      <c r="G28" s="10" t="n">
        <v>27398157.9078322</v>
      </c>
      <c r="H28" s="10" t="n">
        <v>77976460.016465</v>
      </c>
      <c r="I28" s="10" t="n">
        <v>19363354.8941357</v>
      </c>
      <c r="J28" s="10" t="n">
        <v>60046866.3974695</v>
      </c>
      <c r="K28" s="11" t="n">
        <v>1.85141284970186</v>
      </c>
      <c r="L28" s="11" t="n">
        <v>0.888626640105208</v>
      </c>
      <c r="M28" s="11" t="n">
        <v>0.637716749721019</v>
      </c>
      <c r="N28" s="11" t="n">
        <v>1.60908252633415</v>
      </c>
      <c r="O28" s="12" t="n">
        <v>0.0279044757568673</v>
      </c>
      <c r="P28" s="12" t="n">
        <v>0.117408171542455</v>
      </c>
      <c r="Q28" s="4" t="n">
        <f aca="false">RANK(N28,$N$7:$N$307,0)</f>
        <v>22</v>
      </c>
      <c r="R28" s="4" t="n">
        <f aca="false">RANK(O28,$O$7:$O$307,1)</f>
        <v>71</v>
      </c>
      <c r="S28" s="4" t="n">
        <f aca="false">RANK(J28,$J$7:$J$307,0)</f>
        <v>29</v>
      </c>
      <c r="T28" s="4" t="str">
        <f aca="false">IF(O28&lt;0.05,"YES","no")</f>
        <v>YES</v>
      </c>
      <c r="U28" s="4" t="str">
        <f aca="false">IF(P28&lt;0.05,"YES","no")</f>
        <v>no</v>
      </c>
      <c r="V28" s="4" t="str">
        <f aca="false">IF(N28&gt;1,"YES","no")</f>
        <v>YES</v>
      </c>
    </row>
    <row r="29" customFormat="false" ht="15" hidden="false" customHeight="false" outlineLevel="0" collapsed="false">
      <c r="A29" s="4" t="s">
        <v>89</v>
      </c>
      <c r="B29" s="4"/>
      <c r="C29" s="4" t="s">
        <v>61</v>
      </c>
      <c r="D29" s="8" t="n">
        <v>220.11801</v>
      </c>
      <c r="E29" s="9" t="n">
        <v>6.937</v>
      </c>
      <c r="F29" s="10" t="n">
        <v>66071054.6122933</v>
      </c>
      <c r="G29" s="10" t="n">
        <v>16105017.3793815</v>
      </c>
      <c r="H29" s="10" t="n">
        <v>106713194.340611</v>
      </c>
      <c r="I29" s="10" t="n">
        <v>45082312.3933998</v>
      </c>
      <c r="J29" s="10" t="n">
        <v>86392124.4764522</v>
      </c>
      <c r="K29" s="11" t="n">
        <v>1.6151277585443</v>
      </c>
      <c r="L29" s="11" t="n">
        <v>0.691648288342272</v>
      </c>
      <c r="M29" s="11" t="n">
        <v>0.549447541292227</v>
      </c>
      <c r="N29" s="11" t="n">
        <v>1.60755203586435</v>
      </c>
      <c r="O29" s="12" t="n">
        <v>0.0808836978021236</v>
      </c>
      <c r="P29" s="12" t="n">
        <v>0.204588176793607</v>
      </c>
      <c r="Q29" s="4" t="n">
        <f aca="false">RANK(N29,$N$7:$N$307,0)</f>
        <v>23</v>
      </c>
      <c r="R29" s="4" t="n">
        <f aca="false">RANK(O29,$O$7:$O$307,1)</f>
        <v>119</v>
      </c>
      <c r="S29" s="4" t="n">
        <f aca="false">RANK(J29,$J$7:$J$307,0)</f>
        <v>22</v>
      </c>
      <c r="T29" s="4" t="str">
        <f aca="false">IF(O29&lt;0.05,"YES","no")</f>
        <v>no</v>
      </c>
      <c r="U29" s="4" t="str">
        <f aca="false">IF(P29&lt;0.05,"YES","no")</f>
        <v>no</v>
      </c>
      <c r="V29" s="4" t="str">
        <f aca="false">IF(N29&gt;1,"YES","no")</f>
        <v>YES</v>
      </c>
    </row>
    <row r="30" customFormat="false" ht="15" hidden="false" customHeight="false" outlineLevel="0" collapsed="false">
      <c r="A30" s="4" t="s">
        <v>90</v>
      </c>
      <c r="B30" s="4"/>
      <c r="C30" s="4" t="s">
        <v>61</v>
      </c>
      <c r="D30" s="8" t="n">
        <v>241.12961</v>
      </c>
      <c r="E30" s="9" t="n">
        <v>11.667</v>
      </c>
      <c r="F30" s="10" t="n">
        <v>9969130.11016876</v>
      </c>
      <c r="G30" s="10" t="n">
        <v>21933574.4380744</v>
      </c>
      <c r="H30" s="10" t="n">
        <v>1327576.66526979</v>
      </c>
      <c r="I30" s="10" t="n">
        <v>1377033.97395252</v>
      </c>
      <c r="J30" s="10" t="n">
        <v>5648353.38771928</v>
      </c>
      <c r="K30" s="11" t="n">
        <v>0.133168757012774</v>
      </c>
      <c r="L30" s="11" t="n">
        <v>-2.90867244633541</v>
      </c>
      <c r="M30" s="11" t="n">
        <v>0.291366372296271</v>
      </c>
      <c r="N30" s="11" t="n">
        <v>1.58212903038266</v>
      </c>
      <c r="O30" s="12" t="n">
        <v>0.379369982235796</v>
      </c>
      <c r="P30" s="12" t="n">
        <v>0.536104998370773</v>
      </c>
      <c r="Q30" s="4" t="n">
        <f aca="false">RANK(N30,$N$7:$N$307,0)</f>
        <v>24</v>
      </c>
      <c r="R30" s="4" t="n">
        <f aca="false">RANK(O30,$O$7:$O$307,1)</f>
        <v>213</v>
      </c>
      <c r="S30" s="4" t="n">
        <f aca="false">RANK(J30,$J$7:$J$307,0)</f>
        <v>96</v>
      </c>
      <c r="T30" s="4" t="str">
        <f aca="false">IF(O30&lt;0.05,"YES","no")</f>
        <v>no</v>
      </c>
      <c r="U30" s="4" t="str">
        <f aca="false">IF(P30&lt;0.05,"YES","no")</f>
        <v>no</v>
      </c>
      <c r="V30" s="4" t="str">
        <f aca="false">IF(N30&gt;1,"YES","no")</f>
        <v>YES</v>
      </c>
    </row>
    <row r="31" customFormat="false" ht="15" hidden="false" customHeight="false" outlineLevel="0" collapsed="false">
      <c r="A31" s="4" t="s">
        <v>91</v>
      </c>
      <c r="B31" s="4" t="s">
        <v>92</v>
      </c>
      <c r="C31" s="4" t="s">
        <v>61</v>
      </c>
      <c r="D31" s="8" t="n">
        <v>308.09115</v>
      </c>
      <c r="E31" s="9" t="n">
        <v>9.381</v>
      </c>
      <c r="F31" s="10" t="n">
        <v>73540694.2848839</v>
      </c>
      <c r="G31" s="10" t="n">
        <v>27932940.7900217</v>
      </c>
      <c r="H31" s="10" t="n">
        <v>108433426.401697</v>
      </c>
      <c r="I31" s="10" t="n">
        <v>35709783.8179197</v>
      </c>
      <c r="J31" s="10" t="n">
        <v>90987060.3432903</v>
      </c>
      <c r="K31" s="11" t="n">
        <v>1.47446835328539</v>
      </c>
      <c r="L31" s="11" t="n">
        <v>0.560194857972252</v>
      </c>
      <c r="M31" s="11" t="n">
        <v>0.512064609577959</v>
      </c>
      <c r="N31" s="11" t="n">
        <v>1.52978503556236</v>
      </c>
      <c r="O31" s="12" t="n">
        <v>0.0904711579906813</v>
      </c>
      <c r="P31" s="12" t="n">
        <v>0.218065692470316</v>
      </c>
      <c r="Q31" s="4" t="n">
        <f aca="false">RANK(N31,$N$7:$N$307,0)</f>
        <v>25</v>
      </c>
      <c r="R31" s="4" t="n">
        <f aca="false">RANK(O31,$O$7:$O$307,1)</f>
        <v>124</v>
      </c>
      <c r="S31" s="4" t="n">
        <f aca="false">RANK(J31,$J$7:$J$307,0)</f>
        <v>19</v>
      </c>
      <c r="T31" s="4" t="str">
        <f aca="false">IF(O31&lt;0.05,"YES","no")</f>
        <v>no</v>
      </c>
      <c r="U31" s="4" t="str">
        <f aca="false">IF(P31&lt;0.05,"YES","no")</f>
        <v>no</v>
      </c>
      <c r="V31" s="4" t="str">
        <f aca="false">IF(N31&gt;1,"YES","no")</f>
        <v>YES</v>
      </c>
    </row>
    <row r="32" customFormat="false" ht="15" hidden="false" customHeight="false" outlineLevel="0" collapsed="false">
      <c r="A32" s="4" t="s">
        <v>93</v>
      </c>
      <c r="B32" s="4"/>
      <c r="C32" s="4" t="s">
        <v>72</v>
      </c>
      <c r="D32" s="8" t="n">
        <v>112.08688</v>
      </c>
      <c r="E32" s="9" t="n">
        <v>11.095</v>
      </c>
      <c r="F32" s="10" t="n">
        <v>165979836.870811</v>
      </c>
      <c r="G32" s="10" t="n">
        <v>86253112.2397178</v>
      </c>
      <c r="H32" s="10" t="n">
        <v>114946430.045492</v>
      </c>
      <c r="I32" s="10" t="n">
        <v>55245649.4065247</v>
      </c>
      <c r="J32" s="10" t="n">
        <v>140463133.458152</v>
      </c>
      <c r="K32" s="11" t="n">
        <v>0.692532491973464</v>
      </c>
      <c r="L32" s="11" t="n">
        <v>-0.530046334325806</v>
      </c>
      <c r="M32" s="11" t="n">
        <v>0.360046600430963</v>
      </c>
      <c r="N32" s="11" t="n">
        <v>1.48631408842737</v>
      </c>
      <c r="O32" s="12" t="n">
        <v>0.255038710150181</v>
      </c>
      <c r="P32" s="12" t="n">
        <v>0.419680398603548</v>
      </c>
      <c r="Q32" s="4" t="n">
        <f aca="false">RANK(N32,$N$7:$N$307,0)</f>
        <v>26</v>
      </c>
      <c r="R32" s="4" t="n">
        <f aca="false">RANK(O32,$O$7:$O$307,1)</f>
        <v>182</v>
      </c>
      <c r="S32" s="4" t="n">
        <f aca="false">RANK(J32,$J$7:$J$307,0)</f>
        <v>15</v>
      </c>
      <c r="T32" s="4" t="str">
        <f aca="false">IF(O32&lt;0.05,"YES","no")</f>
        <v>no</v>
      </c>
      <c r="U32" s="4" t="str">
        <f aca="false">IF(P32&lt;0.05,"YES","no")</f>
        <v>no</v>
      </c>
      <c r="V32" s="4" t="str">
        <f aca="false">IF(N32&gt;1,"YES","no")</f>
        <v>YES</v>
      </c>
    </row>
    <row r="33" customFormat="false" ht="15" hidden="false" customHeight="false" outlineLevel="0" collapsed="false">
      <c r="A33" s="4" t="s">
        <v>94</v>
      </c>
      <c r="B33" s="4"/>
      <c r="C33" s="4" t="s">
        <v>61</v>
      </c>
      <c r="D33" s="8" t="n">
        <v>144.10188</v>
      </c>
      <c r="E33" s="9" t="n">
        <v>10.062</v>
      </c>
      <c r="F33" s="10" t="n">
        <v>78536225.9601188</v>
      </c>
      <c r="G33" s="10" t="n">
        <v>30798804.4436937</v>
      </c>
      <c r="H33" s="10" t="n">
        <v>109806551.46869</v>
      </c>
      <c r="I33" s="10" t="n">
        <v>15647724.1952422</v>
      </c>
      <c r="J33" s="10" t="n">
        <v>94171388.7144046</v>
      </c>
      <c r="K33" s="11" t="n">
        <v>1.39816435188076</v>
      </c>
      <c r="L33" s="11" t="n">
        <v>0.483533957070191</v>
      </c>
      <c r="M33" s="11" t="n">
        <v>0.574094891521153</v>
      </c>
      <c r="N33" s="11" t="n">
        <v>1.47759952294766</v>
      </c>
      <c r="O33" s="12" t="n">
        <v>0.0599958968977849</v>
      </c>
      <c r="P33" s="12" t="n">
        <v>0.172868249839214</v>
      </c>
      <c r="Q33" s="4" t="n">
        <f aca="false">RANK(N33,$N$7:$N$307,0)</f>
        <v>27</v>
      </c>
      <c r="R33" s="4" t="n">
        <f aca="false">RANK(O33,$O$7:$O$307,1)</f>
        <v>104</v>
      </c>
      <c r="S33" s="4" t="n">
        <f aca="false">RANK(J33,$J$7:$J$307,0)</f>
        <v>18</v>
      </c>
      <c r="T33" s="4" t="str">
        <f aca="false">IF(O33&lt;0.05,"YES","no")</f>
        <v>no</v>
      </c>
      <c r="U33" s="4" t="str">
        <f aca="false">IF(P33&lt;0.05,"YES","no")</f>
        <v>no</v>
      </c>
      <c r="V33" s="4" t="str">
        <f aca="false">IF(N33&gt;1,"YES","no")</f>
        <v>YES</v>
      </c>
    </row>
    <row r="34" customFormat="false" ht="15" hidden="false" customHeight="false" outlineLevel="0" collapsed="false">
      <c r="A34" s="4" t="s">
        <v>95</v>
      </c>
      <c r="B34" s="4"/>
      <c r="C34" s="4" t="s">
        <v>61</v>
      </c>
      <c r="D34" s="8" t="n">
        <v>146.11753</v>
      </c>
      <c r="E34" s="9" t="n">
        <v>11.962</v>
      </c>
      <c r="F34" s="10" t="n">
        <v>28471696.0987738</v>
      </c>
      <c r="G34" s="10" t="n">
        <v>6904145.64451939</v>
      </c>
      <c r="H34" s="10" t="n">
        <v>51464129.4030795</v>
      </c>
      <c r="I34" s="10" t="n">
        <v>13853862.7000361</v>
      </c>
      <c r="J34" s="10" t="n">
        <v>39967912.7509267</v>
      </c>
      <c r="K34" s="11" t="n">
        <v>1.80755404330464</v>
      </c>
      <c r="L34" s="11" t="n">
        <v>0.854038782358698</v>
      </c>
      <c r="M34" s="11" t="n">
        <v>0.75477177920494</v>
      </c>
      <c r="N34" s="11" t="n">
        <v>1.45596287972236</v>
      </c>
      <c r="O34" s="12" t="n">
        <v>0.00765308313535849</v>
      </c>
      <c r="P34" s="12" t="n">
        <v>0.0807692088686714</v>
      </c>
      <c r="Q34" s="4" t="n">
        <f aca="false">RANK(N34,$N$7:$N$307,0)</f>
        <v>28</v>
      </c>
      <c r="R34" s="4" t="n">
        <f aca="false">RANK(O34,$O$7:$O$307,1)</f>
        <v>24</v>
      </c>
      <c r="S34" s="4" t="n">
        <f aca="false">RANK(J34,$J$7:$J$307,0)</f>
        <v>39</v>
      </c>
      <c r="T34" s="4" t="str">
        <f aca="false">IF(O34&lt;0.05,"YES","no")</f>
        <v>YES</v>
      </c>
      <c r="U34" s="4" t="str">
        <f aca="false">IF(P34&lt;0.05,"YES","no")</f>
        <v>no</v>
      </c>
      <c r="V34" s="4" t="str">
        <f aca="false">IF(N34&gt;1,"YES","no")</f>
        <v>YES</v>
      </c>
    </row>
    <row r="35" customFormat="false" ht="15" hidden="false" customHeight="false" outlineLevel="0" collapsed="false">
      <c r="A35" s="4" t="s">
        <v>96</v>
      </c>
      <c r="B35" s="4"/>
      <c r="C35" s="4" t="s">
        <v>61</v>
      </c>
      <c r="D35" s="8" t="n">
        <v>175.00169</v>
      </c>
      <c r="E35" s="9" t="n">
        <v>8.607</v>
      </c>
      <c r="F35" s="10" t="n">
        <v>14646463.3594011</v>
      </c>
      <c r="G35" s="10" t="n">
        <v>4677960.02562695</v>
      </c>
      <c r="H35" s="10" t="n">
        <v>34011462.6755054</v>
      </c>
      <c r="I35" s="10" t="n">
        <v>15636884.072625</v>
      </c>
      <c r="J35" s="10" t="n">
        <v>24328963.0174533</v>
      </c>
      <c r="K35" s="11" t="n">
        <v>2.32216213845744</v>
      </c>
      <c r="L35" s="11" t="n">
        <v>1.21546870785465</v>
      </c>
      <c r="M35" s="11" t="n">
        <v>0.676669647199055</v>
      </c>
      <c r="N35" s="11" t="n">
        <v>1.4335251277997</v>
      </c>
      <c r="O35" s="12" t="n">
        <v>0.0277083927508312</v>
      </c>
      <c r="P35" s="12" t="n">
        <v>0.117408171542455</v>
      </c>
      <c r="Q35" s="4" t="n">
        <f aca="false">RANK(N35,$N$7:$N$307,0)</f>
        <v>29</v>
      </c>
      <c r="R35" s="4" t="n">
        <f aca="false">RANK(O35,$O$7:$O$307,1)</f>
        <v>70</v>
      </c>
      <c r="S35" s="4" t="n">
        <f aca="false">RANK(J35,$J$7:$J$307,0)</f>
        <v>49</v>
      </c>
      <c r="T35" s="4" t="str">
        <f aca="false">IF(O35&lt;0.05,"YES","no")</f>
        <v>YES</v>
      </c>
      <c r="U35" s="4" t="str">
        <f aca="false">IF(P35&lt;0.05,"YES","no")</f>
        <v>no</v>
      </c>
      <c r="V35" s="4" t="str">
        <f aca="false">IF(N35&gt;1,"YES","no")</f>
        <v>YES</v>
      </c>
    </row>
    <row r="36" customFormat="false" ht="15" hidden="false" customHeight="false" outlineLevel="0" collapsed="false">
      <c r="A36" s="4" t="s">
        <v>97</v>
      </c>
      <c r="B36" s="4" t="s">
        <v>98</v>
      </c>
      <c r="C36" s="4" t="s">
        <v>72</v>
      </c>
      <c r="D36" s="8" t="n">
        <v>218.13866</v>
      </c>
      <c r="E36" s="9" t="n">
        <v>9.458</v>
      </c>
      <c r="F36" s="10" t="n">
        <v>34639710.8637834</v>
      </c>
      <c r="G36" s="10" t="n">
        <v>12028069.7181063</v>
      </c>
      <c r="H36" s="10" t="n">
        <v>26974644.5170358</v>
      </c>
      <c r="I36" s="10" t="n">
        <v>9850367.51550284</v>
      </c>
      <c r="J36" s="10" t="n">
        <v>30807177.6904096</v>
      </c>
      <c r="K36" s="11" t="n">
        <v>0.778720256156596</v>
      </c>
      <c r="L36" s="11" t="n">
        <v>-0.360822940590057</v>
      </c>
      <c r="M36" s="11" t="n">
        <v>0.356768119713835</v>
      </c>
      <c r="N36" s="11" t="n">
        <v>1.33560732516927</v>
      </c>
      <c r="O36" s="12" t="n">
        <v>0.256007733059821</v>
      </c>
      <c r="P36" s="12" t="n">
        <v>0.419680398603548</v>
      </c>
      <c r="Q36" s="4" t="n">
        <f aca="false">RANK(N36,$N$7:$N$307,0)</f>
        <v>30</v>
      </c>
      <c r="R36" s="4" t="n">
        <f aca="false">RANK(O36,$O$7:$O$307,1)</f>
        <v>183</v>
      </c>
      <c r="S36" s="4" t="n">
        <f aca="false">RANK(J36,$J$7:$J$307,0)</f>
        <v>42</v>
      </c>
      <c r="T36" s="4" t="str">
        <f aca="false">IF(O36&lt;0.05,"YES","no")</f>
        <v>no</v>
      </c>
      <c r="U36" s="4" t="str">
        <f aca="false">IF(P36&lt;0.05,"YES","no")</f>
        <v>no</v>
      </c>
      <c r="V36" s="4" t="str">
        <f aca="false">IF(N36&gt;1,"YES","no")</f>
        <v>YES</v>
      </c>
    </row>
    <row r="37" customFormat="false" ht="15" hidden="false" customHeight="false" outlineLevel="0" collapsed="false">
      <c r="A37" s="4" t="s">
        <v>99</v>
      </c>
      <c r="B37" s="4"/>
      <c r="C37" s="4" t="s">
        <v>61</v>
      </c>
      <c r="D37" s="8" t="n">
        <v>269.08805</v>
      </c>
      <c r="E37" s="9" t="n">
        <v>8.957</v>
      </c>
      <c r="F37" s="10" t="n">
        <v>8178938.79335972</v>
      </c>
      <c r="G37" s="10" t="n">
        <v>4682154.33091923</v>
      </c>
      <c r="H37" s="10" t="n">
        <v>24455760.3201564</v>
      </c>
      <c r="I37" s="10" t="n">
        <v>11702228.2904179</v>
      </c>
      <c r="J37" s="10" t="n">
        <v>16317349.5567581</v>
      </c>
      <c r="K37" s="11" t="n">
        <v>2.99008966053291</v>
      </c>
      <c r="L37" s="11" t="n">
        <v>1.58018874558284</v>
      </c>
      <c r="M37" s="11" t="n">
        <v>0.707213826444741</v>
      </c>
      <c r="N37" s="11" t="n">
        <v>1.27656986203835</v>
      </c>
      <c r="O37" s="12" t="n">
        <v>0.0172797291479826</v>
      </c>
      <c r="P37" s="12" t="n">
        <v>0.0963184902507921</v>
      </c>
      <c r="Q37" s="4" t="n">
        <f aca="false">RANK(N37,$N$7:$N$307,0)</f>
        <v>31</v>
      </c>
      <c r="R37" s="4" t="n">
        <f aca="false">RANK(O37,$O$7:$O$307,1)</f>
        <v>54</v>
      </c>
      <c r="S37" s="4" t="n">
        <f aca="false">RANK(J37,$J$7:$J$307,0)</f>
        <v>60</v>
      </c>
      <c r="T37" s="4" t="str">
        <f aca="false">IF(O37&lt;0.05,"YES","no")</f>
        <v>YES</v>
      </c>
      <c r="U37" s="4" t="str">
        <f aca="false">IF(P37&lt;0.05,"YES","no")</f>
        <v>no</v>
      </c>
      <c r="V37" s="4" t="str">
        <f aca="false">IF(N37&gt;1,"YES","no")</f>
        <v>YES</v>
      </c>
    </row>
    <row r="38" customFormat="false" ht="15" hidden="false" customHeight="false" outlineLevel="0" collapsed="false">
      <c r="A38" s="4" t="s">
        <v>100</v>
      </c>
      <c r="B38" s="4" t="s">
        <v>101</v>
      </c>
      <c r="C38" s="4" t="s">
        <v>61</v>
      </c>
      <c r="D38" s="8" t="n">
        <v>182.08114</v>
      </c>
      <c r="E38" s="9" t="n">
        <v>10.237</v>
      </c>
      <c r="F38" s="10" t="n">
        <v>17944354.407057</v>
      </c>
      <c r="G38" s="10" t="n">
        <v>11895498.9309448</v>
      </c>
      <c r="H38" s="10" t="n">
        <v>35868353.4566571</v>
      </c>
      <c r="I38" s="10" t="n">
        <v>6126717.40269178</v>
      </c>
      <c r="J38" s="10" t="n">
        <v>26906353.9318571</v>
      </c>
      <c r="K38" s="11" t="n">
        <v>1.99886564002276</v>
      </c>
      <c r="L38" s="11" t="n">
        <v>0.999181500102795</v>
      </c>
      <c r="M38" s="11" t="n">
        <v>0.720037347659571</v>
      </c>
      <c r="N38" s="11" t="n">
        <v>1.25305769105807</v>
      </c>
      <c r="O38" s="12" t="n">
        <v>0.0122662635385268</v>
      </c>
      <c r="P38" s="12" t="n">
        <v>0.0807692088686714</v>
      </c>
      <c r="Q38" s="4" t="n">
        <f aca="false">RANK(N38,$N$7:$N$307,0)</f>
        <v>32</v>
      </c>
      <c r="R38" s="4" t="n">
        <f aca="false">RANK(O38,$O$7:$O$307,1)</f>
        <v>44</v>
      </c>
      <c r="S38" s="4" t="n">
        <f aca="false">RANK(J38,$J$7:$J$307,0)</f>
        <v>47</v>
      </c>
      <c r="T38" s="4" t="str">
        <f aca="false">IF(O38&lt;0.05,"YES","no")</f>
        <v>YES</v>
      </c>
      <c r="U38" s="4" t="str">
        <f aca="false">IF(P38&lt;0.05,"YES","no")</f>
        <v>no</v>
      </c>
      <c r="V38" s="4" t="str">
        <f aca="false">IF(N38&gt;1,"YES","no")</f>
        <v>YES</v>
      </c>
    </row>
    <row r="39" customFormat="false" ht="15" hidden="false" customHeight="false" outlineLevel="0" collapsed="false">
      <c r="A39" s="4" t="s">
        <v>102</v>
      </c>
      <c r="B39" s="4"/>
      <c r="C39" s="4" t="s">
        <v>61</v>
      </c>
      <c r="D39" s="8" t="n">
        <v>114.06614</v>
      </c>
      <c r="E39" s="9" t="n">
        <v>8.762</v>
      </c>
      <c r="F39" s="10" t="n">
        <v>40889713.3424007</v>
      </c>
      <c r="G39" s="10" t="n">
        <v>32096943.3004879</v>
      </c>
      <c r="H39" s="10" t="n">
        <v>51268662.7006242</v>
      </c>
      <c r="I39" s="10" t="n">
        <v>12056704.2883266</v>
      </c>
      <c r="J39" s="10" t="n">
        <v>46079188.0215124</v>
      </c>
      <c r="K39" s="11" t="n">
        <v>1.25382788260981</v>
      </c>
      <c r="L39" s="11" t="n">
        <v>0.32633931787847</v>
      </c>
      <c r="M39" s="11" t="n">
        <v>0.228286984444825</v>
      </c>
      <c r="N39" s="11" t="n">
        <v>1.22503821741936</v>
      </c>
      <c r="O39" s="12" t="n">
        <v>0.484775238306513</v>
      </c>
      <c r="P39" s="12" t="n">
        <v>0.626254706996826</v>
      </c>
      <c r="Q39" s="4" t="n">
        <f aca="false">RANK(N39,$N$7:$N$307,0)</f>
        <v>33</v>
      </c>
      <c r="R39" s="4" t="n">
        <f aca="false">RANK(O39,$O$7:$O$307,1)</f>
        <v>233</v>
      </c>
      <c r="S39" s="4" t="n">
        <f aca="false">RANK(J39,$J$7:$J$307,0)</f>
        <v>35</v>
      </c>
      <c r="T39" s="4" t="str">
        <f aca="false">IF(O39&lt;0.05,"YES","no")</f>
        <v>no</v>
      </c>
      <c r="U39" s="4" t="str">
        <f aca="false">IF(P39&lt;0.05,"YES","no")</f>
        <v>no</v>
      </c>
      <c r="V39" s="4" t="str">
        <f aca="false">IF(N39&gt;1,"YES","no")</f>
        <v>YES</v>
      </c>
    </row>
    <row r="40" customFormat="false" ht="15" hidden="false" customHeight="false" outlineLevel="0" collapsed="false">
      <c r="A40" s="4" t="s">
        <v>103</v>
      </c>
      <c r="B40" s="4"/>
      <c r="C40" s="4" t="s">
        <v>61</v>
      </c>
      <c r="D40" s="8" t="n">
        <v>147.11272</v>
      </c>
      <c r="E40" s="9" t="n">
        <v>18.232</v>
      </c>
      <c r="F40" s="10" t="n">
        <v>32765809.8919353</v>
      </c>
      <c r="G40" s="10" t="n">
        <v>26559508.8684181</v>
      </c>
      <c r="H40" s="10" t="n">
        <v>51014631.0998196</v>
      </c>
      <c r="I40" s="10" t="n">
        <v>29850408.5617803</v>
      </c>
      <c r="J40" s="10" t="n">
        <v>41890220.4958775</v>
      </c>
      <c r="K40" s="11" t="n">
        <v>1.55694705145609</v>
      </c>
      <c r="L40" s="11" t="n">
        <v>0.638719882181491</v>
      </c>
      <c r="M40" s="11" t="n">
        <v>0.33352247581036</v>
      </c>
      <c r="N40" s="11" t="n">
        <v>1.18362825032354</v>
      </c>
      <c r="O40" s="12" t="n">
        <v>0.289744788352589</v>
      </c>
      <c r="P40" s="12" t="n">
        <v>0.451881768363365</v>
      </c>
      <c r="Q40" s="4" t="n">
        <f aca="false">RANK(N40,$N$7:$N$307,0)</f>
        <v>34</v>
      </c>
      <c r="R40" s="4" t="n">
        <f aca="false">RANK(O40,$O$7:$O$307,1)</f>
        <v>193</v>
      </c>
      <c r="S40" s="4" t="n">
        <f aca="false">RANK(J40,$J$7:$J$307,0)</f>
        <v>37</v>
      </c>
      <c r="T40" s="4" t="str">
        <f aca="false">IF(O40&lt;0.05,"YES","no")</f>
        <v>no</v>
      </c>
      <c r="U40" s="4" t="str">
        <f aca="false">IF(P40&lt;0.05,"YES","no")</f>
        <v>no</v>
      </c>
      <c r="V40" s="4" t="str">
        <f aca="false">IF(N40&gt;1,"YES","no")</f>
        <v>YES</v>
      </c>
    </row>
    <row r="41" customFormat="false" ht="15" hidden="false" customHeight="false" outlineLevel="0" collapsed="false">
      <c r="A41" s="4" t="s">
        <v>104</v>
      </c>
      <c r="B41" s="4" t="s">
        <v>105</v>
      </c>
      <c r="C41" s="4" t="s">
        <v>72</v>
      </c>
      <c r="D41" s="8" t="n">
        <v>138.0549</v>
      </c>
      <c r="E41" s="9" t="n">
        <v>10.341</v>
      </c>
      <c r="F41" s="10" t="n">
        <v>36465558.3097965</v>
      </c>
      <c r="G41" s="10" t="n">
        <v>14446595.506632</v>
      </c>
      <c r="H41" s="10" t="n">
        <v>55724389.4287794</v>
      </c>
      <c r="I41" s="10" t="n">
        <v>11623108.6391979</v>
      </c>
      <c r="J41" s="10" t="n">
        <v>46094973.8692879</v>
      </c>
      <c r="K41" s="11" t="n">
        <v>1.52813756354332</v>
      </c>
      <c r="L41" s="11" t="n">
        <v>0.61177442119347</v>
      </c>
      <c r="M41" s="11" t="n">
        <v>0.626853480520696</v>
      </c>
      <c r="N41" s="11" t="n">
        <v>1.17840140596039</v>
      </c>
      <c r="O41" s="12" t="n">
        <v>0.0301118217495567</v>
      </c>
      <c r="P41" s="12" t="n">
        <v>0.117408171542455</v>
      </c>
      <c r="Q41" s="4" t="n">
        <f aca="false">RANK(N41,$N$7:$N$307,0)</f>
        <v>35</v>
      </c>
      <c r="R41" s="4" t="n">
        <f aca="false">RANK(O41,$O$7:$O$307,1)</f>
        <v>77</v>
      </c>
      <c r="S41" s="4" t="n">
        <f aca="false">RANK(J41,$J$7:$J$307,0)</f>
        <v>34</v>
      </c>
      <c r="T41" s="4" t="str">
        <f aca="false">IF(O41&lt;0.05,"YES","no")</f>
        <v>YES</v>
      </c>
      <c r="U41" s="4" t="str">
        <f aca="false">IF(P41&lt;0.05,"YES","no")</f>
        <v>no</v>
      </c>
      <c r="V41" s="4" t="str">
        <f aca="false">IF(N41&gt;1,"YES","no")</f>
        <v>YES</v>
      </c>
    </row>
    <row r="42" customFormat="false" ht="15" hidden="false" customHeight="false" outlineLevel="0" collapsed="false">
      <c r="A42" s="4" t="s">
        <v>106</v>
      </c>
      <c r="B42" s="4" t="s">
        <v>107</v>
      </c>
      <c r="C42" s="4" t="s">
        <v>72</v>
      </c>
      <c r="D42" s="8" t="n">
        <v>279.23253</v>
      </c>
      <c r="E42" s="9" t="n">
        <v>3.685</v>
      </c>
      <c r="F42" s="10" t="n">
        <v>93439745.4981678</v>
      </c>
      <c r="G42" s="10" t="n">
        <v>87446066.5173912</v>
      </c>
      <c r="H42" s="10" t="n">
        <v>58221571.5427629</v>
      </c>
      <c r="I42" s="10" t="n">
        <v>51165726.0650845</v>
      </c>
      <c r="J42" s="10" t="n">
        <v>75830658.5204653</v>
      </c>
      <c r="K42" s="11" t="n">
        <v>0.623092145985185</v>
      </c>
      <c r="L42" s="11" t="n">
        <v>-0.682482562897202</v>
      </c>
      <c r="M42" s="11" t="n">
        <v>0.259997844638026</v>
      </c>
      <c r="N42" s="11" t="n">
        <v>1.16050268353098</v>
      </c>
      <c r="O42" s="12" t="n">
        <v>0.419073856546071</v>
      </c>
      <c r="P42" s="12" t="n">
        <v>0.560627692534966</v>
      </c>
      <c r="Q42" s="4" t="n">
        <f aca="false">RANK(N42,$N$7:$N$307,0)</f>
        <v>36</v>
      </c>
      <c r="R42" s="4" t="n">
        <f aca="false">RANK(O42,$O$7:$O$307,1)</f>
        <v>225</v>
      </c>
      <c r="S42" s="4" t="n">
        <f aca="false">RANK(J42,$J$7:$J$307,0)</f>
        <v>26</v>
      </c>
      <c r="T42" s="4" t="str">
        <f aca="false">IF(O42&lt;0.05,"YES","no")</f>
        <v>no</v>
      </c>
      <c r="U42" s="4" t="str">
        <f aca="false">IF(P42&lt;0.05,"YES","no")</f>
        <v>no</v>
      </c>
      <c r="V42" s="4" t="str">
        <f aca="false">IF(N42&gt;1,"YES","no")</f>
        <v>YES</v>
      </c>
    </row>
    <row r="43" customFormat="false" ht="15" hidden="false" customHeight="false" outlineLevel="0" collapsed="false">
      <c r="A43" s="4" t="s">
        <v>108</v>
      </c>
      <c r="B43" s="4"/>
      <c r="C43" s="4" t="s">
        <v>61</v>
      </c>
      <c r="D43" s="8" t="n">
        <v>227.11387</v>
      </c>
      <c r="E43" s="9" t="n">
        <v>11.951</v>
      </c>
      <c r="F43" s="10" t="n">
        <v>5821665.91355958</v>
      </c>
      <c r="G43" s="10" t="n">
        <v>11993610.5157443</v>
      </c>
      <c r="H43" s="10" t="n">
        <v>1353304.97141784</v>
      </c>
      <c r="I43" s="10" t="n">
        <v>623675.394935592</v>
      </c>
      <c r="J43" s="10" t="n">
        <v>3587485.44248871</v>
      </c>
      <c r="K43" s="11" t="n">
        <v>0.232460088145178</v>
      </c>
      <c r="L43" s="11" t="n">
        <v>-2.10494505857142</v>
      </c>
      <c r="M43" s="11" t="n">
        <v>0.276924850711857</v>
      </c>
      <c r="N43" s="11" t="n">
        <v>1.15900068657054</v>
      </c>
      <c r="O43" s="12" t="n">
        <v>0.403692629415656</v>
      </c>
      <c r="P43" s="12" t="n">
        <v>0.554846947279053</v>
      </c>
      <c r="Q43" s="4" t="n">
        <f aca="false">RANK(N43,$N$7:$N$307,0)</f>
        <v>37</v>
      </c>
      <c r="R43" s="4" t="n">
        <f aca="false">RANK(O43,$O$7:$O$307,1)</f>
        <v>219</v>
      </c>
      <c r="S43" s="4" t="n">
        <f aca="false">RANK(J43,$J$7:$J$307,0)</f>
        <v>115</v>
      </c>
      <c r="T43" s="4" t="str">
        <f aca="false">IF(O43&lt;0.05,"YES","no")</f>
        <v>no</v>
      </c>
      <c r="U43" s="4" t="str">
        <f aca="false">IF(P43&lt;0.05,"YES","no")</f>
        <v>no</v>
      </c>
      <c r="V43" s="4" t="str">
        <f aca="false">IF(N43&gt;1,"YES","no")</f>
        <v>YES</v>
      </c>
    </row>
    <row r="44" customFormat="false" ht="15" hidden="false" customHeight="false" outlineLevel="0" collapsed="false">
      <c r="A44" s="4" t="s">
        <v>109</v>
      </c>
      <c r="B44" s="4"/>
      <c r="C44" s="4" t="s">
        <v>61</v>
      </c>
      <c r="D44" s="8" t="n">
        <v>151.02624</v>
      </c>
      <c r="E44" s="9" t="n">
        <v>8.62</v>
      </c>
      <c r="F44" s="10" t="n">
        <v>11264420.6839116</v>
      </c>
      <c r="G44" s="10" t="n">
        <v>4410372.1970568</v>
      </c>
      <c r="H44" s="10" t="n">
        <v>23822805.6967147</v>
      </c>
      <c r="I44" s="10" t="n">
        <v>8058558.02127746</v>
      </c>
      <c r="J44" s="10" t="n">
        <v>17543613.1903131</v>
      </c>
      <c r="K44" s="11" t="n">
        <v>2.11487180434761</v>
      </c>
      <c r="L44" s="11" t="n">
        <v>1.08057021519522</v>
      </c>
      <c r="M44" s="11" t="n">
        <v>0.727041455869699</v>
      </c>
      <c r="N44" s="11" t="n">
        <v>1.15493384978174</v>
      </c>
      <c r="O44" s="12" t="n">
        <v>0.0105788101692812</v>
      </c>
      <c r="P44" s="12" t="n">
        <v>0.0807692088686714</v>
      </c>
      <c r="Q44" s="4" t="n">
        <f aca="false">RANK(N44,$N$7:$N$307,0)</f>
        <v>38</v>
      </c>
      <c r="R44" s="4" t="n">
        <f aca="false">RANK(O44,$O$7:$O$307,1)</f>
        <v>38</v>
      </c>
      <c r="S44" s="4" t="n">
        <f aca="false">RANK(J44,$J$7:$J$307,0)</f>
        <v>56</v>
      </c>
      <c r="T44" s="4" t="str">
        <f aca="false">IF(O44&lt;0.05,"YES","no")</f>
        <v>YES</v>
      </c>
      <c r="U44" s="4" t="str">
        <f aca="false">IF(P44&lt;0.05,"YES","no")</f>
        <v>no</v>
      </c>
      <c r="V44" s="4" t="str">
        <f aca="false">IF(N44&gt;1,"YES","no")</f>
        <v>YES</v>
      </c>
    </row>
    <row r="45" customFormat="false" ht="15" hidden="false" customHeight="false" outlineLevel="0" collapsed="false">
      <c r="A45" s="4" t="s">
        <v>110</v>
      </c>
      <c r="B45" s="4"/>
      <c r="C45" s="4" t="s">
        <v>61</v>
      </c>
      <c r="D45" s="8" t="n">
        <v>76.07564</v>
      </c>
      <c r="E45" s="9" t="n">
        <v>12.042</v>
      </c>
      <c r="F45" s="10" t="n">
        <v>6772379.62573998</v>
      </c>
      <c r="G45" s="10" t="n">
        <v>3304015.3478127</v>
      </c>
      <c r="H45" s="10" t="n">
        <v>20669895.3856543</v>
      </c>
      <c r="I45" s="10" t="n">
        <v>8881463.97709991</v>
      </c>
      <c r="J45" s="10" t="n">
        <v>13721137.5056971</v>
      </c>
      <c r="K45" s="11" t="n">
        <v>3.05208752726939</v>
      </c>
      <c r="L45" s="11" t="n">
        <v>1.60979633613929</v>
      </c>
      <c r="M45" s="11" t="n">
        <v>0.750611474864823</v>
      </c>
      <c r="N45" s="11" t="n">
        <v>1.15364696250523</v>
      </c>
      <c r="O45" s="12" t="n">
        <v>0.0103926175918201</v>
      </c>
      <c r="P45" s="12" t="n">
        <v>0.0807692088686714</v>
      </c>
      <c r="Q45" s="4" t="n">
        <f aca="false">RANK(N45,$N$7:$N$307,0)</f>
        <v>39</v>
      </c>
      <c r="R45" s="4" t="n">
        <f aca="false">RANK(O45,$O$7:$O$307,1)</f>
        <v>35</v>
      </c>
      <c r="S45" s="4" t="n">
        <f aca="false">RANK(J45,$J$7:$J$307,0)</f>
        <v>68</v>
      </c>
      <c r="T45" s="4" t="str">
        <f aca="false">IF(O45&lt;0.05,"YES","no")</f>
        <v>YES</v>
      </c>
      <c r="U45" s="4" t="str">
        <f aca="false">IF(P45&lt;0.05,"YES","no")</f>
        <v>no</v>
      </c>
      <c r="V45" s="4" t="str">
        <f aca="false">IF(N45&gt;1,"YES","no")</f>
        <v>YES</v>
      </c>
    </row>
    <row r="46" customFormat="false" ht="15" hidden="false" customHeight="false" outlineLevel="0" collapsed="false">
      <c r="A46" s="4" t="s">
        <v>111</v>
      </c>
      <c r="B46" s="4"/>
      <c r="C46" s="4" t="s">
        <v>72</v>
      </c>
      <c r="D46" s="8" t="n">
        <v>514.28466</v>
      </c>
      <c r="E46" s="9" t="n">
        <v>4.74</v>
      </c>
      <c r="F46" s="10" t="n">
        <v>157206.420044282</v>
      </c>
      <c r="G46" s="10" t="n">
        <v>52174.0754717287</v>
      </c>
      <c r="H46" s="10" t="n">
        <v>19944589.9927121</v>
      </c>
      <c r="I46" s="10" t="n">
        <v>33747304.2956826</v>
      </c>
      <c r="J46" s="10" t="n">
        <v>10050898.2063782</v>
      </c>
      <c r="K46" s="11" t="n">
        <v>126.86880082311</v>
      </c>
      <c r="L46" s="11" t="n">
        <v>6.9871935195385</v>
      </c>
      <c r="M46" s="11" t="n">
        <v>0.413524305225936</v>
      </c>
      <c r="N46" s="11" t="n">
        <v>1.14703695558322</v>
      </c>
      <c r="O46" s="12" t="n">
        <v>0.210425813281454</v>
      </c>
      <c r="P46" s="12" t="n">
        <v>0.377012915462605</v>
      </c>
      <c r="Q46" s="4" t="n">
        <f aca="false">RANK(N46,$N$7:$N$307,0)</f>
        <v>40</v>
      </c>
      <c r="R46" s="4" t="n">
        <f aca="false">RANK(O46,$O$7:$O$307,1)</f>
        <v>168</v>
      </c>
      <c r="S46" s="4" t="n">
        <f aca="false">RANK(J46,$J$7:$J$307,0)</f>
        <v>80</v>
      </c>
      <c r="T46" s="4" t="str">
        <f aca="false">IF(O46&lt;0.05,"YES","no")</f>
        <v>no</v>
      </c>
      <c r="U46" s="4" t="str">
        <f aca="false">IF(P46&lt;0.05,"YES","no")</f>
        <v>no</v>
      </c>
      <c r="V46" s="4" t="str">
        <f aca="false">IF(N46&gt;1,"YES","no")</f>
        <v>YES</v>
      </c>
    </row>
    <row r="47" customFormat="false" ht="15" hidden="false" customHeight="false" outlineLevel="0" collapsed="false">
      <c r="A47" s="4" t="s">
        <v>112</v>
      </c>
      <c r="B47" s="4" t="s">
        <v>113</v>
      </c>
      <c r="C47" s="4" t="s">
        <v>72</v>
      </c>
      <c r="D47" s="8" t="n">
        <v>134.05998</v>
      </c>
      <c r="E47" s="9" t="n">
        <v>6.153</v>
      </c>
      <c r="F47" s="10" t="n">
        <v>3144616.33927867</v>
      </c>
      <c r="G47" s="10" t="n">
        <v>1370647.37597889</v>
      </c>
      <c r="H47" s="10" t="n">
        <v>14448027.2722357</v>
      </c>
      <c r="I47" s="10" t="n">
        <v>7057673.54913063</v>
      </c>
      <c r="J47" s="10" t="n">
        <v>8796321.80575719</v>
      </c>
      <c r="K47" s="11" t="n">
        <v>4.59452782578554</v>
      </c>
      <c r="L47" s="11" t="n">
        <v>2.19991660506172</v>
      </c>
      <c r="M47" s="11" t="n">
        <v>0.772836688168586</v>
      </c>
      <c r="N47" s="11" t="n">
        <v>1.11562948790872</v>
      </c>
      <c r="O47" s="12" t="n">
        <v>0.0104315122472398</v>
      </c>
      <c r="P47" s="12" t="n">
        <v>0.0807692088686714</v>
      </c>
      <c r="Q47" s="4" t="n">
        <f aca="false">RANK(N47,$N$7:$N$307,0)</f>
        <v>41</v>
      </c>
      <c r="R47" s="4" t="n">
        <f aca="false">RANK(O47,$O$7:$O$307,1)</f>
        <v>36</v>
      </c>
      <c r="S47" s="4" t="n">
        <f aca="false">RANK(J47,$J$7:$J$307,0)</f>
        <v>85</v>
      </c>
      <c r="T47" s="4" t="str">
        <f aca="false">IF(O47&lt;0.05,"YES","no")</f>
        <v>YES</v>
      </c>
      <c r="U47" s="4" t="str">
        <f aca="false">IF(P47&lt;0.05,"YES","no")</f>
        <v>no</v>
      </c>
      <c r="V47" s="4" t="str">
        <f aca="false">IF(N47&gt;1,"YES","no")</f>
        <v>YES</v>
      </c>
    </row>
    <row r="48" customFormat="false" ht="15" hidden="false" customHeight="false" outlineLevel="0" collapsed="false">
      <c r="A48" s="4" t="s">
        <v>114</v>
      </c>
      <c r="B48" s="4"/>
      <c r="C48" s="4" t="s">
        <v>72</v>
      </c>
      <c r="D48" s="8" t="n">
        <v>95.06033</v>
      </c>
      <c r="E48" s="9" t="n">
        <v>11.093</v>
      </c>
      <c r="F48" s="10" t="n">
        <v>58692975.3254247</v>
      </c>
      <c r="G48" s="10" t="n">
        <v>30877919.1867703</v>
      </c>
      <c r="H48" s="10" t="n">
        <v>37566152.5421456</v>
      </c>
      <c r="I48" s="10" t="n">
        <v>25738937.9317956</v>
      </c>
      <c r="J48" s="10" t="n">
        <v>48129563.9337852</v>
      </c>
      <c r="K48" s="11" t="n">
        <v>0.640045121820099</v>
      </c>
      <c r="L48" s="11" t="n">
        <v>-0.643754479256852</v>
      </c>
      <c r="M48" s="11" t="n">
        <v>0.377049897447679</v>
      </c>
      <c r="N48" s="11" t="n">
        <v>1.11204803536911</v>
      </c>
      <c r="O48" s="12" t="n">
        <v>0.22788118613108</v>
      </c>
      <c r="P48" s="12" t="n">
        <v>0.391981624258262</v>
      </c>
      <c r="Q48" s="4" t="n">
        <f aca="false">RANK(N48,$N$7:$N$307,0)</f>
        <v>42</v>
      </c>
      <c r="R48" s="4" t="n">
        <f aca="false">RANK(O48,$O$7:$O$307,1)</f>
        <v>174</v>
      </c>
      <c r="S48" s="4" t="n">
        <f aca="false">RANK(J48,$J$7:$J$307,0)</f>
        <v>33</v>
      </c>
      <c r="T48" s="4" t="str">
        <f aca="false">IF(O48&lt;0.05,"YES","no")</f>
        <v>no</v>
      </c>
      <c r="U48" s="4" t="str">
        <f aca="false">IF(P48&lt;0.05,"YES","no")</f>
        <v>no</v>
      </c>
      <c r="V48" s="4" t="str">
        <f aca="false">IF(N48&gt;1,"YES","no")</f>
        <v>YES</v>
      </c>
    </row>
    <row r="49" customFormat="false" ht="15" hidden="false" customHeight="false" outlineLevel="0" collapsed="false">
      <c r="A49" s="4" t="s">
        <v>115</v>
      </c>
      <c r="B49" s="4"/>
      <c r="C49" s="4" t="s">
        <v>61</v>
      </c>
      <c r="D49" s="8" t="n">
        <v>175.0248</v>
      </c>
      <c r="E49" s="9" t="n">
        <v>9.306</v>
      </c>
      <c r="F49" s="10" t="n">
        <v>48931390.2535524</v>
      </c>
      <c r="G49" s="10" t="n">
        <v>12377605.4461027</v>
      </c>
      <c r="H49" s="10" t="n">
        <v>64348150.2869736</v>
      </c>
      <c r="I49" s="10" t="n">
        <v>7056731.13179014</v>
      </c>
      <c r="J49" s="10" t="n">
        <v>56639770.270263</v>
      </c>
      <c r="K49" s="11" t="n">
        <v>1.31506891493446</v>
      </c>
      <c r="L49" s="11" t="n">
        <v>0.395138404558681</v>
      </c>
      <c r="M49" s="11" t="n">
        <v>0.642357134793787</v>
      </c>
      <c r="N49" s="11" t="n">
        <v>1.06926984618793</v>
      </c>
      <c r="O49" s="12" t="n">
        <v>0.0294283769282439</v>
      </c>
      <c r="P49" s="12" t="n">
        <v>0.117408171542455</v>
      </c>
      <c r="Q49" s="4" t="n">
        <f aca="false">RANK(N49,$N$7:$N$307,0)</f>
        <v>43</v>
      </c>
      <c r="R49" s="4" t="n">
        <f aca="false">RANK(O49,$O$7:$O$307,1)</f>
        <v>72</v>
      </c>
      <c r="S49" s="4" t="n">
        <f aca="false">RANK(J49,$J$7:$J$307,0)</f>
        <v>30</v>
      </c>
      <c r="T49" s="4" t="str">
        <f aca="false">IF(O49&lt;0.05,"YES","no")</f>
        <v>YES</v>
      </c>
      <c r="U49" s="4" t="str">
        <f aca="false">IF(P49&lt;0.05,"YES","no")</f>
        <v>no</v>
      </c>
      <c r="V49" s="4" t="str">
        <f aca="false">IF(N49&gt;1,"YES","no")</f>
        <v>YES</v>
      </c>
    </row>
    <row r="50" customFormat="false" ht="15" hidden="false" customHeight="false" outlineLevel="0" collapsed="false">
      <c r="A50" s="4" t="s">
        <v>116</v>
      </c>
      <c r="B50" s="4" t="s">
        <v>117</v>
      </c>
      <c r="C50" s="4" t="s">
        <v>61</v>
      </c>
      <c r="D50" s="8" t="n">
        <v>120.0655</v>
      </c>
      <c r="E50" s="9" t="n">
        <v>10.871</v>
      </c>
      <c r="F50" s="10" t="n">
        <v>16495556.8274859</v>
      </c>
      <c r="G50" s="10" t="n">
        <v>8331575.14521911</v>
      </c>
      <c r="H50" s="10" t="n">
        <v>30314958.1661774</v>
      </c>
      <c r="I50" s="10" t="n">
        <v>6889886.38518748</v>
      </c>
      <c r="J50" s="10" t="n">
        <v>23405257.4968317</v>
      </c>
      <c r="K50" s="11" t="n">
        <v>1.8377650711169</v>
      </c>
      <c r="L50" s="11" t="n">
        <v>0.877952352917957</v>
      </c>
      <c r="M50" s="11" t="n">
        <v>0.703584692032232</v>
      </c>
      <c r="N50" s="11" t="n">
        <v>1.06316399070652</v>
      </c>
      <c r="O50" s="12" t="n">
        <v>0.0111174497879772</v>
      </c>
      <c r="P50" s="12" t="n">
        <v>0.0807692088686714</v>
      </c>
      <c r="Q50" s="4" t="n">
        <f aca="false">RANK(N50,$N$7:$N$307,0)</f>
        <v>44</v>
      </c>
      <c r="R50" s="4" t="n">
        <f aca="false">RANK(O50,$O$7:$O$307,1)</f>
        <v>41</v>
      </c>
      <c r="S50" s="4" t="n">
        <f aca="false">RANK(J50,$J$7:$J$307,0)</f>
        <v>50</v>
      </c>
      <c r="T50" s="4" t="str">
        <f aca="false">IF(O50&lt;0.05,"YES","no")</f>
        <v>YES</v>
      </c>
      <c r="U50" s="4" t="str">
        <f aca="false">IF(P50&lt;0.05,"YES","no")</f>
        <v>no</v>
      </c>
      <c r="V50" s="4" t="str">
        <f aca="false">IF(N50&gt;1,"YES","no")</f>
        <v>YES</v>
      </c>
    </row>
    <row r="51" customFormat="false" ht="15" hidden="false" customHeight="false" outlineLevel="0" collapsed="false">
      <c r="A51" s="4" t="s">
        <v>118</v>
      </c>
      <c r="B51" s="4"/>
      <c r="C51" s="4" t="s">
        <v>61</v>
      </c>
      <c r="D51" s="8" t="n">
        <v>230.09567</v>
      </c>
      <c r="E51" s="9" t="n">
        <v>11.253</v>
      </c>
      <c r="F51" s="10" t="n">
        <v>21162272.1628691</v>
      </c>
      <c r="G51" s="10" t="n">
        <v>3682694.01247664</v>
      </c>
      <c r="H51" s="10" t="n">
        <v>33776600.6574179</v>
      </c>
      <c r="I51" s="10" t="n">
        <v>8146548.01716217</v>
      </c>
      <c r="J51" s="10" t="n">
        <v>27469436.4101435</v>
      </c>
      <c r="K51" s="11" t="n">
        <v>1.59607628129278</v>
      </c>
      <c r="L51" s="11" t="n">
        <v>0.674529603949319</v>
      </c>
      <c r="M51" s="11" t="n">
        <v>0.737774125225308</v>
      </c>
      <c r="N51" s="11" t="n">
        <v>1.04890373086715</v>
      </c>
      <c r="O51" s="12" t="n">
        <v>0.0106949237377285</v>
      </c>
      <c r="P51" s="12" t="n">
        <v>0.0807692088686714</v>
      </c>
      <c r="Q51" s="4" t="n">
        <f aca="false">RANK(N51,$N$7:$N$307,0)</f>
        <v>45</v>
      </c>
      <c r="R51" s="4" t="n">
        <f aca="false">RANK(O51,$O$7:$O$307,1)</f>
        <v>39</v>
      </c>
      <c r="S51" s="4" t="n">
        <f aca="false">RANK(J51,$J$7:$J$307,0)</f>
        <v>46</v>
      </c>
      <c r="T51" s="4" t="str">
        <f aca="false">IF(O51&lt;0.05,"YES","no")</f>
        <v>YES</v>
      </c>
      <c r="U51" s="4" t="str">
        <f aca="false">IF(P51&lt;0.05,"YES","no")</f>
        <v>no</v>
      </c>
      <c r="V51" s="4" t="str">
        <f aca="false">IF(N51&gt;1,"YES","no")</f>
        <v>YES</v>
      </c>
    </row>
    <row r="52" customFormat="false" ht="15" hidden="false" customHeight="false" outlineLevel="0" collapsed="false">
      <c r="A52" s="4" t="s">
        <v>119</v>
      </c>
      <c r="B52" s="4"/>
      <c r="C52" s="4" t="s">
        <v>61</v>
      </c>
      <c r="D52" s="8" t="n">
        <v>205.09714</v>
      </c>
      <c r="E52" s="9" t="n">
        <v>9.665</v>
      </c>
      <c r="F52" s="10" t="n">
        <v>11755736.9156181</v>
      </c>
      <c r="G52" s="10" t="n">
        <v>4624146.30014195</v>
      </c>
      <c r="H52" s="10" t="n">
        <v>21664530.5008424</v>
      </c>
      <c r="I52" s="10" t="n">
        <v>3607583.30828332</v>
      </c>
      <c r="J52" s="10" t="n">
        <v>16710133.7082302</v>
      </c>
      <c r="K52" s="11" t="n">
        <v>1.84289004222781</v>
      </c>
      <c r="L52" s="11" t="n">
        <v>0.881969993776479</v>
      </c>
      <c r="M52" s="11" t="n">
        <v>0.794579210411934</v>
      </c>
      <c r="N52" s="11" t="n">
        <v>0.988579415089813</v>
      </c>
      <c r="O52" s="12" t="n">
        <v>0.00228062679795909</v>
      </c>
      <c r="P52" s="12" t="n">
        <v>0.0762742962428539</v>
      </c>
      <c r="Q52" s="4" t="n">
        <f aca="false">RANK(N52,$N$7:$N$307,0)</f>
        <v>46</v>
      </c>
      <c r="R52" s="4" t="n">
        <f aca="false">RANK(O52,$O$7:$O$307,1)</f>
        <v>9</v>
      </c>
      <c r="S52" s="4" t="n">
        <f aca="false">RANK(J52,$J$7:$J$307,0)</f>
        <v>57</v>
      </c>
      <c r="T52" s="4" t="str">
        <f aca="false">IF(O52&lt;0.05,"YES","no")</f>
        <v>YES</v>
      </c>
      <c r="U52" s="4" t="str">
        <f aca="false">IF(P52&lt;0.05,"YES","no")</f>
        <v>no</v>
      </c>
      <c r="V52" s="4" t="str">
        <f aca="false">IF(N52&gt;1,"YES","no")</f>
        <v>no</v>
      </c>
    </row>
    <row r="53" customFormat="false" ht="15" hidden="false" customHeight="false" outlineLevel="0" collapsed="false">
      <c r="A53" s="4" t="s">
        <v>120</v>
      </c>
      <c r="B53" s="4" t="s">
        <v>121</v>
      </c>
      <c r="C53" s="4" t="s">
        <v>61</v>
      </c>
      <c r="D53" s="8" t="n">
        <v>176.10294</v>
      </c>
      <c r="E53" s="9" t="n">
        <v>11.63</v>
      </c>
      <c r="F53" s="10" t="n">
        <v>15555523.8056565</v>
      </c>
      <c r="G53" s="10" t="n">
        <v>6148072.74999262</v>
      </c>
      <c r="H53" s="10" t="n">
        <v>26937164.9447998</v>
      </c>
      <c r="I53" s="10" t="n">
        <v>5440055.7685763</v>
      </c>
      <c r="J53" s="10" t="n">
        <v>21246344.3752282</v>
      </c>
      <c r="K53" s="11" t="n">
        <v>1.73167842377668</v>
      </c>
      <c r="L53" s="11" t="n">
        <v>0.792171043519047</v>
      </c>
      <c r="M53" s="11" t="n">
        <v>0.731846135720134</v>
      </c>
      <c r="N53" s="11" t="n">
        <v>0.976809117011529</v>
      </c>
      <c r="O53" s="12" t="n">
        <v>0.00695925904837457</v>
      </c>
      <c r="P53" s="12" t="n">
        <v>0.0807692088686714</v>
      </c>
      <c r="Q53" s="4" t="n">
        <f aca="false">RANK(N53,$N$7:$N$307,0)</f>
        <v>47</v>
      </c>
      <c r="R53" s="4" t="n">
        <f aca="false">RANK(O53,$O$7:$O$307,1)</f>
        <v>22</v>
      </c>
      <c r="S53" s="4" t="n">
        <f aca="false">RANK(J53,$J$7:$J$307,0)</f>
        <v>53</v>
      </c>
      <c r="T53" s="4" t="str">
        <f aca="false">IF(O53&lt;0.05,"YES","no")</f>
        <v>YES</v>
      </c>
      <c r="U53" s="4" t="str">
        <f aca="false">IF(P53&lt;0.05,"YES","no")</f>
        <v>no</v>
      </c>
      <c r="V53" s="4" t="str">
        <f aca="false">IF(N53&gt;1,"YES","no")</f>
        <v>no</v>
      </c>
    </row>
    <row r="54" customFormat="false" ht="15" hidden="false" customHeight="false" outlineLevel="0" collapsed="false">
      <c r="A54" s="4" t="s">
        <v>122</v>
      </c>
      <c r="B54" s="4"/>
      <c r="C54" s="4" t="s">
        <v>61</v>
      </c>
      <c r="D54" s="8" t="n">
        <v>117.01927</v>
      </c>
      <c r="E54" s="9" t="n">
        <v>9.349</v>
      </c>
      <c r="F54" s="10" t="n">
        <v>14374318.679517</v>
      </c>
      <c r="G54" s="10" t="n">
        <v>12933276.6011187</v>
      </c>
      <c r="H54" s="10" t="n">
        <v>12191582.3866466</v>
      </c>
      <c r="I54" s="10" t="n">
        <v>4835613.63210229</v>
      </c>
      <c r="J54" s="10" t="n">
        <v>13282950.5330818</v>
      </c>
      <c r="K54" s="11" t="n">
        <v>0.848150278177654</v>
      </c>
      <c r="L54" s="11" t="n">
        <v>-0.237608185790702</v>
      </c>
      <c r="M54" s="11" t="n">
        <v>0.121541225548904</v>
      </c>
      <c r="N54" s="11" t="n">
        <v>0.973147711996252</v>
      </c>
      <c r="O54" s="12" t="n">
        <v>0.711201547669512</v>
      </c>
      <c r="P54" s="12" t="n">
        <v>0.810877522153496</v>
      </c>
      <c r="Q54" s="4" t="n">
        <f aca="false">RANK(N54,$N$7:$N$307,0)</f>
        <v>48</v>
      </c>
      <c r="R54" s="4" t="n">
        <f aca="false">RANK(O54,$O$7:$O$307,1)</f>
        <v>264</v>
      </c>
      <c r="S54" s="4" t="n">
        <f aca="false">RANK(J54,$J$7:$J$307,0)</f>
        <v>73</v>
      </c>
      <c r="T54" s="4" t="str">
        <f aca="false">IF(O54&lt;0.05,"YES","no")</f>
        <v>no</v>
      </c>
      <c r="U54" s="4" t="str">
        <f aca="false">IF(P54&lt;0.05,"YES","no")</f>
        <v>no</v>
      </c>
      <c r="V54" s="4" t="str">
        <f aca="false">IF(N54&gt;1,"YES","no")</f>
        <v>no</v>
      </c>
    </row>
    <row r="55" customFormat="false" ht="15" hidden="false" customHeight="false" outlineLevel="0" collapsed="false">
      <c r="A55" s="4" t="s">
        <v>123</v>
      </c>
      <c r="B55" s="4"/>
      <c r="C55" s="4" t="s">
        <v>72</v>
      </c>
      <c r="D55" s="8" t="n">
        <v>104.10686</v>
      </c>
      <c r="E55" s="9" t="n">
        <v>8.911</v>
      </c>
      <c r="F55" s="10" t="n">
        <v>352091870.746676</v>
      </c>
      <c r="G55" s="10" t="n">
        <v>141547462.858648</v>
      </c>
      <c r="H55" s="10" t="n">
        <v>305703604.919746</v>
      </c>
      <c r="I55" s="10" t="n">
        <v>154335438.686284</v>
      </c>
      <c r="J55" s="10" t="n">
        <v>328897737.833211</v>
      </c>
      <c r="K55" s="11" t="n">
        <v>0.868249540301639</v>
      </c>
      <c r="L55" s="11" t="n">
        <v>-0.203818353120735</v>
      </c>
      <c r="M55" s="11" t="n">
        <v>0.169111443025798</v>
      </c>
      <c r="N55" s="11" t="n">
        <v>0.967474461748856</v>
      </c>
      <c r="O55" s="12" t="n">
        <v>0.59938049470007</v>
      </c>
      <c r="P55" s="12" t="n">
        <v>0.713096952192574</v>
      </c>
      <c r="Q55" s="4" t="n">
        <f aca="false">RANK(N55,$N$7:$N$307,0)</f>
        <v>49</v>
      </c>
      <c r="R55" s="4" t="n">
        <f aca="false">RANK(O55,$O$7:$O$307,1)</f>
        <v>253</v>
      </c>
      <c r="S55" s="4" t="n">
        <f aca="false">RANK(J55,$J$7:$J$307,0)</f>
        <v>6</v>
      </c>
      <c r="T55" s="4" t="str">
        <f aca="false">IF(O55&lt;0.05,"YES","no")</f>
        <v>no</v>
      </c>
      <c r="U55" s="4" t="str">
        <f aca="false">IF(P55&lt;0.05,"YES","no")</f>
        <v>no</v>
      </c>
      <c r="V55" s="4" t="str">
        <f aca="false">IF(N55&gt;1,"YES","no")</f>
        <v>no</v>
      </c>
    </row>
    <row r="56" customFormat="false" ht="15" hidden="false" customHeight="false" outlineLevel="0" collapsed="false">
      <c r="A56" s="4" t="s">
        <v>124</v>
      </c>
      <c r="B56" s="4"/>
      <c r="C56" s="4" t="s">
        <v>72</v>
      </c>
      <c r="D56" s="8" t="n">
        <v>188.07061</v>
      </c>
      <c r="E56" s="9" t="n">
        <v>9.625</v>
      </c>
      <c r="F56" s="10" t="n">
        <v>11425358.2577872</v>
      </c>
      <c r="G56" s="10" t="n">
        <v>5109346.40951853</v>
      </c>
      <c r="H56" s="10" t="n">
        <v>21173858.9919723</v>
      </c>
      <c r="I56" s="10" t="n">
        <v>3723875.95117348</v>
      </c>
      <c r="J56" s="10" t="n">
        <v>16299608.6248798</v>
      </c>
      <c r="K56" s="11" t="n">
        <v>1.85323370298176</v>
      </c>
      <c r="L56" s="11" t="n">
        <v>0.890044824631735</v>
      </c>
      <c r="M56" s="11" t="n">
        <v>0.766732866423817</v>
      </c>
      <c r="N56" s="11" t="n">
        <v>0.949341885397314</v>
      </c>
      <c r="O56" s="12" t="n">
        <v>0.00424783641157288</v>
      </c>
      <c r="P56" s="12" t="n">
        <v>0.0804254332941195</v>
      </c>
      <c r="Q56" s="4" t="n">
        <f aca="false">RANK(N56,$N$7:$N$307,0)</f>
        <v>50</v>
      </c>
      <c r="R56" s="4" t="n">
        <f aca="false">RANK(O56,$O$7:$O$307,1)</f>
        <v>15</v>
      </c>
      <c r="S56" s="4" t="n">
        <f aca="false">RANK(J56,$J$7:$J$307,0)</f>
        <v>61</v>
      </c>
      <c r="T56" s="4" t="str">
        <f aca="false">IF(O56&lt;0.05,"YES","no")</f>
        <v>YES</v>
      </c>
      <c r="U56" s="4" t="str">
        <f aca="false">IF(P56&lt;0.05,"YES","no")</f>
        <v>no</v>
      </c>
      <c r="V56" s="4" t="str">
        <f aca="false">IF(N56&gt;1,"YES","no")</f>
        <v>no</v>
      </c>
    </row>
    <row r="57" customFormat="false" ht="15" hidden="false" customHeight="false" outlineLevel="0" collapsed="false">
      <c r="A57" s="4" t="s">
        <v>125</v>
      </c>
      <c r="B57" s="4"/>
      <c r="C57" s="4" t="s">
        <v>61</v>
      </c>
      <c r="D57" s="8" t="n">
        <v>171.00639</v>
      </c>
      <c r="E57" s="9" t="n">
        <v>9.574</v>
      </c>
      <c r="F57" s="10" t="n">
        <v>7198733.78990699</v>
      </c>
      <c r="G57" s="10" t="n">
        <v>11600767.1045678</v>
      </c>
      <c r="H57" s="10" t="n">
        <v>4676215.84491847</v>
      </c>
      <c r="I57" s="10" t="n">
        <v>3098396.35615293</v>
      </c>
      <c r="J57" s="10" t="n">
        <v>5937474.81741273</v>
      </c>
      <c r="K57" s="11" t="n">
        <v>0.649588661199664</v>
      </c>
      <c r="L57" s="11" t="n">
        <v>-0.622401644897808</v>
      </c>
      <c r="M57" s="11" t="n">
        <v>0.160614710170263</v>
      </c>
      <c r="N57" s="11" t="n">
        <v>0.94214517989471</v>
      </c>
      <c r="O57" s="12" t="n">
        <v>0.626141873557129</v>
      </c>
      <c r="P57" s="12" t="n">
        <v>0.736205874768343</v>
      </c>
      <c r="Q57" s="4" t="n">
        <f aca="false">RANK(N57,$N$7:$N$307,0)</f>
        <v>51</v>
      </c>
      <c r="R57" s="4" t="n">
        <f aca="false">RANK(O57,$O$7:$O$307,1)</f>
        <v>256</v>
      </c>
      <c r="S57" s="4" t="n">
        <f aca="false">RANK(J57,$J$7:$J$307,0)</f>
        <v>94</v>
      </c>
      <c r="T57" s="4" t="str">
        <f aca="false">IF(O57&lt;0.05,"YES","no")</f>
        <v>no</v>
      </c>
      <c r="U57" s="4" t="str">
        <f aca="false">IF(P57&lt;0.05,"YES","no")</f>
        <v>no</v>
      </c>
      <c r="V57" s="4" t="str">
        <f aca="false">IF(N57&gt;1,"YES","no")</f>
        <v>no</v>
      </c>
    </row>
    <row r="58" customFormat="false" ht="15" hidden="false" customHeight="false" outlineLevel="0" collapsed="false">
      <c r="A58" s="4" t="s">
        <v>126</v>
      </c>
      <c r="B58" s="4"/>
      <c r="C58" s="4" t="s">
        <v>72</v>
      </c>
      <c r="D58" s="8" t="n">
        <v>154.06224</v>
      </c>
      <c r="E58" s="9" t="n">
        <v>12.328</v>
      </c>
      <c r="F58" s="10" t="n">
        <v>20945384.0028671</v>
      </c>
      <c r="G58" s="10" t="n">
        <v>12134032.1389672</v>
      </c>
      <c r="H58" s="10" t="n">
        <v>34366238.6743004</v>
      </c>
      <c r="I58" s="10" t="n">
        <v>9069185.3285915</v>
      </c>
      <c r="J58" s="10" t="n">
        <v>27655811.3385837</v>
      </c>
      <c r="K58" s="11" t="n">
        <v>1.64075476819123</v>
      </c>
      <c r="L58" s="11" t="n">
        <v>0.714359625717782</v>
      </c>
      <c r="M58" s="11" t="n">
        <v>0.565825590453508</v>
      </c>
      <c r="N58" s="11" t="n">
        <v>0.927325861770517</v>
      </c>
      <c r="O58" s="12" t="n">
        <v>0.0572833669172628</v>
      </c>
      <c r="P58" s="12" t="n">
        <v>0.16904209256957</v>
      </c>
      <c r="Q58" s="4" t="n">
        <f aca="false">RANK(N58,$N$7:$N$307,0)</f>
        <v>52</v>
      </c>
      <c r="R58" s="4" t="n">
        <f aca="false">RANK(O58,$O$7:$O$307,1)</f>
        <v>102</v>
      </c>
      <c r="S58" s="4" t="n">
        <f aca="false">RANK(J58,$J$7:$J$307,0)</f>
        <v>45</v>
      </c>
      <c r="T58" s="4" t="str">
        <f aca="false">IF(O58&lt;0.05,"YES","no")</f>
        <v>no</v>
      </c>
      <c r="U58" s="4" t="str">
        <f aca="false">IF(P58&lt;0.05,"YES","no")</f>
        <v>no</v>
      </c>
      <c r="V58" s="4" t="str">
        <f aca="false">IF(N58&gt;1,"YES","no")</f>
        <v>no</v>
      </c>
    </row>
    <row r="59" customFormat="false" ht="15" hidden="false" customHeight="false" outlineLevel="0" collapsed="false">
      <c r="A59" s="4" t="s">
        <v>127</v>
      </c>
      <c r="B59" s="4"/>
      <c r="C59" s="4" t="s">
        <v>61</v>
      </c>
      <c r="D59" s="8" t="n">
        <v>133.01415</v>
      </c>
      <c r="E59" s="9" t="n">
        <v>10.102</v>
      </c>
      <c r="F59" s="10" t="n">
        <v>26489694.1700875</v>
      </c>
      <c r="G59" s="10" t="n">
        <v>22993489.5296906</v>
      </c>
      <c r="H59" s="10" t="n">
        <v>29861346.5442692</v>
      </c>
      <c r="I59" s="10" t="n">
        <v>10941108.8430978</v>
      </c>
      <c r="J59" s="10" t="n">
        <v>28175520.3571784</v>
      </c>
      <c r="K59" s="11" t="n">
        <v>1.12728166480642</v>
      </c>
      <c r="L59" s="11" t="n">
        <v>0.172848035162916</v>
      </c>
      <c r="M59" s="11" t="n">
        <v>0.102028565183838</v>
      </c>
      <c r="N59" s="11" t="n">
        <v>0.924562620539952</v>
      </c>
      <c r="O59" s="12" t="n">
        <v>0.754962168084996</v>
      </c>
      <c r="P59" s="12" t="n">
        <v>0.841643009605866</v>
      </c>
      <c r="Q59" s="4" t="n">
        <f aca="false">RANK(N59,$N$7:$N$307,0)</f>
        <v>53</v>
      </c>
      <c r="R59" s="4" t="n">
        <f aca="false">RANK(O59,$O$7:$O$307,1)</f>
        <v>270</v>
      </c>
      <c r="S59" s="4" t="n">
        <f aca="false">RANK(J59,$J$7:$J$307,0)</f>
        <v>44</v>
      </c>
      <c r="T59" s="4" t="str">
        <f aca="false">IF(O59&lt;0.05,"YES","no")</f>
        <v>no</v>
      </c>
      <c r="U59" s="4" t="str">
        <f aca="false">IF(P59&lt;0.05,"YES","no")</f>
        <v>no</v>
      </c>
      <c r="V59" s="4" t="str">
        <f aca="false">IF(N59&gt;1,"YES","no")</f>
        <v>no</v>
      </c>
    </row>
    <row r="60" customFormat="false" ht="15" hidden="false" customHeight="false" outlineLevel="0" collapsed="false">
      <c r="A60" s="4" t="s">
        <v>128</v>
      </c>
      <c r="B60" s="4"/>
      <c r="C60" s="4" t="s">
        <v>61</v>
      </c>
      <c r="D60" s="8" t="n">
        <v>188.05646</v>
      </c>
      <c r="E60" s="9" t="n">
        <v>8.846</v>
      </c>
      <c r="F60" s="10" t="n">
        <v>8542112.17729309</v>
      </c>
      <c r="G60" s="10" t="n">
        <v>4784582.84817364</v>
      </c>
      <c r="H60" s="10" t="n">
        <v>18841352.017022</v>
      </c>
      <c r="I60" s="10" t="n">
        <v>6555150.84669364</v>
      </c>
      <c r="J60" s="10" t="n">
        <v>13691732.0971576</v>
      </c>
      <c r="K60" s="11" t="n">
        <v>2.20570177796385</v>
      </c>
      <c r="L60" s="11" t="n">
        <v>1.14123774444839</v>
      </c>
      <c r="M60" s="11" t="n">
        <v>0.70102651221578</v>
      </c>
      <c r="N60" s="11" t="n">
        <v>0.909678712100572</v>
      </c>
      <c r="O60" s="12" t="n">
        <v>0.0123034031388482</v>
      </c>
      <c r="P60" s="12" t="n">
        <v>0.0807692088686714</v>
      </c>
      <c r="Q60" s="4" t="n">
        <f aca="false">RANK(N60,$N$7:$N$307,0)</f>
        <v>54</v>
      </c>
      <c r="R60" s="4" t="n">
        <f aca="false">RANK(O60,$O$7:$O$307,1)</f>
        <v>45</v>
      </c>
      <c r="S60" s="4" t="n">
        <f aca="false">RANK(J60,$J$7:$J$307,0)</f>
        <v>69</v>
      </c>
      <c r="T60" s="4" t="str">
        <f aca="false">IF(O60&lt;0.05,"YES","no")</f>
        <v>YES</v>
      </c>
      <c r="U60" s="4" t="str">
        <f aca="false">IF(P60&lt;0.05,"YES","no")</f>
        <v>no</v>
      </c>
      <c r="V60" s="4" t="str">
        <f aca="false">IF(N60&gt;1,"YES","no")</f>
        <v>no</v>
      </c>
    </row>
    <row r="61" customFormat="false" ht="15" hidden="false" customHeight="false" outlineLevel="0" collapsed="false">
      <c r="A61" s="4" t="s">
        <v>129</v>
      </c>
      <c r="B61" s="4"/>
      <c r="C61" s="4" t="s">
        <v>61</v>
      </c>
      <c r="D61" s="8" t="n">
        <v>191.01965</v>
      </c>
      <c r="E61" s="9" t="n">
        <v>11.31</v>
      </c>
      <c r="F61" s="10" t="n">
        <v>11105696.4230214</v>
      </c>
      <c r="G61" s="10" t="n">
        <v>5767655.39072196</v>
      </c>
      <c r="H61" s="10" t="n">
        <v>21723394.656163</v>
      </c>
      <c r="I61" s="10" t="n">
        <v>7102275.3254849</v>
      </c>
      <c r="J61" s="10" t="n">
        <v>16414545.5395922</v>
      </c>
      <c r="K61" s="11" t="n">
        <v>1.95605874937584</v>
      </c>
      <c r="L61" s="11" t="n">
        <v>0.967949701660466</v>
      </c>
      <c r="M61" s="11" t="n">
        <v>0.668521758277277</v>
      </c>
      <c r="N61" s="11" t="n">
        <v>0.898644312451779</v>
      </c>
      <c r="O61" s="12" t="n">
        <v>0.0181624944255613</v>
      </c>
      <c r="P61" s="12" t="n">
        <v>0.0976234075373918</v>
      </c>
      <c r="Q61" s="4" t="n">
        <f aca="false">RANK(N61,$N$7:$N$307,0)</f>
        <v>55</v>
      </c>
      <c r="R61" s="4" t="n">
        <f aca="false">RANK(O61,$O$7:$O$307,1)</f>
        <v>56</v>
      </c>
      <c r="S61" s="4" t="n">
        <f aca="false">RANK(J61,$J$7:$J$307,0)</f>
        <v>59</v>
      </c>
      <c r="T61" s="4" t="str">
        <f aca="false">IF(O61&lt;0.05,"YES","no")</f>
        <v>YES</v>
      </c>
      <c r="U61" s="4" t="str">
        <f aca="false">IF(P61&lt;0.05,"YES","no")</f>
        <v>no</v>
      </c>
      <c r="V61" s="4" t="str">
        <f aca="false">IF(N61&gt;1,"YES","no")</f>
        <v>no</v>
      </c>
    </row>
    <row r="62" customFormat="false" ht="15" hidden="false" customHeight="false" outlineLevel="0" collapsed="false">
      <c r="A62" s="4" t="s">
        <v>130</v>
      </c>
      <c r="B62" s="4"/>
      <c r="C62" s="4" t="s">
        <v>72</v>
      </c>
      <c r="D62" s="8" t="n">
        <v>220.11791</v>
      </c>
      <c r="E62" s="9" t="n">
        <v>5.093</v>
      </c>
      <c r="F62" s="10" t="n">
        <v>8593261.73381886</v>
      </c>
      <c r="G62" s="10" t="n">
        <v>2874408.36024627</v>
      </c>
      <c r="H62" s="10" t="n">
        <v>18343455.463627</v>
      </c>
      <c r="I62" s="10" t="n">
        <v>8005140.40389552</v>
      </c>
      <c r="J62" s="10" t="n">
        <v>13468358.5987229</v>
      </c>
      <c r="K62" s="11" t="n">
        <v>2.13463246341446</v>
      </c>
      <c r="L62" s="11" t="n">
        <v>1.09398769099107</v>
      </c>
      <c r="M62" s="11" t="n">
        <v>0.663969518131226</v>
      </c>
      <c r="N62" s="11" t="n">
        <v>0.8705771962212</v>
      </c>
      <c r="O62" s="12" t="n">
        <v>0.0294344105329323</v>
      </c>
      <c r="P62" s="12" t="n">
        <v>0.117408171542455</v>
      </c>
      <c r="Q62" s="4" t="n">
        <f aca="false">RANK(N62,$N$7:$N$307,0)</f>
        <v>56</v>
      </c>
      <c r="R62" s="4" t="n">
        <f aca="false">RANK(O62,$O$7:$O$307,1)</f>
        <v>73</v>
      </c>
      <c r="S62" s="4" t="n">
        <f aca="false">RANK(J62,$J$7:$J$307,0)</f>
        <v>72</v>
      </c>
      <c r="T62" s="4" t="str">
        <f aca="false">IF(O62&lt;0.05,"YES","no")</f>
        <v>YES</v>
      </c>
      <c r="U62" s="4" t="str">
        <f aca="false">IF(P62&lt;0.05,"YES","no")</f>
        <v>no</v>
      </c>
      <c r="V62" s="4" t="str">
        <f aca="false">IF(N62&gt;1,"YES","no")</f>
        <v>no</v>
      </c>
    </row>
    <row r="63" customFormat="false" ht="15" hidden="false" customHeight="false" outlineLevel="0" collapsed="false">
      <c r="A63" s="4" t="s">
        <v>131</v>
      </c>
      <c r="B63" s="4"/>
      <c r="C63" s="4" t="s">
        <v>61</v>
      </c>
      <c r="D63" s="8" t="n">
        <v>323.02841</v>
      </c>
      <c r="E63" s="9" t="n">
        <v>9.303</v>
      </c>
      <c r="F63" s="10" t="n">
        <v>10077402.8861438</v>
      </c>
      <c r="G63" s="10" t="n">
        <v>2927138.13624405</v>
      </c>
      <c r="H63" s="10" t="n">
        <v>17141032.6984949</v>
      </c>
      <c r="I63" s="10" t="n">
        <v>2846554.63109725</v>
      </c>
      <c r="J63" s="10" t="n">
        <v>13609217.7923193</v>
      </c>
      <c r="K63" s="11" t="n">
        <v>1.70093752251024</v>
      </c>
      <c r="L63" s="11" t="n">
        <v>0.76633015004302</v>
      </c>
      <c r="M63" s="11" t="n">
        <v>0.8014448558343</v>
      </c>
      <c r="N63" s="11" t="n">
        <v>0.860270341433817</v>
      </c>
      <c r="O63" s="12" t="n">
        <v>0.00172587625901746</v>
      </c>
      <c r="P63" s="12" t="n">
        <v>0.0731380882551726</v>
      </c>
      <c r="Q63" s="4" t="n">
        <f aca="false">RANK(N63,$N$7:$N$307,0)</f>
        <v>57</v>
      </c>
      <c r="R63" s="4" t="n">
        <f aca="false">RANK(O63,$O$7:$O$307,1)</f>
        <v>7</v>
      </c>
      <c r="S63" s="4" t="n">
        <f aca="false">RANK(J63,$J$7:$J$307,0)</f>
        <v>71</v>
      </c>
      <c r="T63" s="4" t="str">
        <f aca="false">IF(O63&lt;0.05,"YES","no")</f>
        <v>YES</v>
      </c>
      <c r="U63" s="4" t="str">
        <f aca="false">IF(P63&lt;0.05,"YES","no")</f>
        <v>no</v>
      </c>
      <c r="V63" s="4" t="str">
        <f aca="false">IF(N63&gt;1,"YES","no")</f>
        <v>no</v>
      </c>
    </row>
    <row r="64" customFormat="false" ht="15" hidden="false" customHeight="false" outlineLevel="0" collapsed="false">
      <c r="A64" s="4" t="s">
        <v>132</v>
      </c>
      <c r="B64" s="4"/>
      <c r="C64" s="4" t="s">
        <v>72</v>
      </c>
      <c r="D64" s="8" t="n">
        <v>119.08541</v>
      </c>
      <c r="E64" s="9" t="n">
        <v>4.064</v>
      </c>
      <c r="F64" s="10" t="n">
        <v>86454199.2170438</v>
      </c>
      <c r="G64" s="10" t="n">
        <v>18642524.6714666</v>
      </c>
      <c r="H64" s="10" t="n">
        <v>95316757.7565416</v>
      </c>
      <c r="I64" s="10" t="n">
        <v>17622533.5009169</v>
      </c>
      <c r="J64" s="10" t="n">
        <v>90885478.4867927</v>
      </c>
      <c r="K64" s="11" t="n">
        <v>1.10251160290373</v>
      </c>
      <c r="L64" s="11" t="n">
        <v>0.140793838879024</v>
      </c>
      <c r="M64" s="11" t="n">
        <v>0.25850627124729</v>
      </c>
      <c r="N64" s="11" t="n">
        <v>0.852804819467082</v>
      </c>
      <c r="O64" s="12" t="n">
        <v>0.417274208990391</v>
      </c>
      <c r="P64" s="12" t="n">
        <v>0.560627692534966</v>
      </c>
      <c r="Q64" s="4" t="n">
        <f aca="false">RANK(N64,$N$7:$N$307,0)</f>
        <v>58</v>
      </c>
      <c r="R64" s="4" t="n">
        <f aca="false">RANK(O64,$O$7:$O$307,1)</f>
        <v>223</v>
      </c>
      <c r="S64" s="4" t="n">
        <f aca="false">RANK(J64,$J$7:$J$307,0)</f>
        <v>20</v>
      </c>
      <c r="T64" s="4" t="str">
        <f aca="false">IF(O64&lt;0.05,"YES","no")</f>
        <v>no</v>
      </c>
      <c r="U64" s="4" t="str">
        <f aca="false">IF(P64&lt;0.05,"YES","no")</f>
        <v>no</v>
      </c>
      <c r="V64" s="4" t="str">
        <f aca="false">IF(N64&gt;1,"YES","no")</f>
        <v>no</v>
      </c>
    </row>
    <row r="65" customFormat="false" ht="15" hidden="false" customHeight="false" outlineLevel="0" collapsed="false">
      <c r="A65" s="4" t="s">
        <v>133</v>
      </c>
      <c r="B65" s="4"/>
      <c r="C65" s="4" t="s">
        <v>61</v>
      </c>
      <c r="D65" s="8" t="n">
        <v>349.05452</v>
      </c>
      <c r="E65" s="9" t="n">
        <v>9.655</v>
      </c>
      <c r="F65" s="10" t="n">
        <v>12602399.2689598</v>
      </c>
      <c r="G65" s="10" t="n">
        <v>9152119.76476962</v>
      </c>
      <c r="H65" s="10" t="n">
        <v>11969854.0339151</v>
      </c>
      <c r="I65" s="10" t="n">
        <v>3939852.85137045</v>
      </c>
      <c r="J65" s="10" t="n">
        <v>12286126.6514375</v>
      </c>
      <c r="K65" s="11" t="n">
        <v>0.949807554772317</v>
      </c>
      <c r="L65" s="11" t="n">
        <v>-0.0742928634445223</v>
      </c>
      <c r="M65" s="11" t="n">
        <v>0.0491138216071802</v>
      </c>
      <c r="N65" s="11" t="n">
        <v>0.827806249784199</v>
      </c>
      <c r="O65" s="12" t="n">
        <v>0.880948149259384</v>
      </c>
      <c r="P65" s="12" t="n">
        <v>0.920713169885676</v>
      </c>
      <c r="Q65" s="4" t="n">
        <f aca="false">RANK(N65,$N$7:$N$307,0)</f>
        <v>59</v>
      </c>
      <c r="R65" s="4" t="n">
        <f aca="false">RANK(O65,$O$7:$O$307,1)</f>
        <v>288</v>
      </c>
      <c r="S65" s="4" t="n">
        <f aca="false">RANK(J65,$J$7:$J$307,0)</f>
        <v>75</v>
      </c>
      <c r="T65" s="4" t="str">
        <f aca="false">IF(O65&lt;0.05,"YES","no")</f>
        <v>no</v>
      </c>
      <c r="U65" s="4" t="str">
        <f aca="false">IF(P65&lt;0.05,"YES","no")</f>
        <v>no</v>
      </c>
      <c r="V65" s="4" t="str">
        <f aca="false">IF(N65&gt;1,"YES","no")</f>
        <v>no</v>
      </c>
    </row>
    <row r="66" customFormat="false" ht="15" hidden="false" customHeight="false" outlineLevel="0" collapsed="false">
      <c r="A66" s="4" t="s">
        <v>134</v>
      </c>
      <c r="B66" s="4"/>
      <c r="C66" s="4" t="s">
        <v>72</v>
      </c>
      <c r="D66" s="8" t="n">
        <v>426.02204</v>
      </c>
      <c r="E66" s="9" t="n">
        <v>9.694</v>
      </c>
      <c r="F66" s="10" t="n">
        <v>4045455.75967338</v>
      </c>
      <c r="G66" s="10" t="n">
        <v>3218995.70463655</v>
      </c>
      <c r="H66" s="10" t="n">
        <v>1856788.90612199</v>
      </c>
      <c r="I66" s="10" t="n">
        <v>514896.929435662</v>
      </c>
      <c r="J66" s="10" t="n">
        <v>2951122.33289769</v>
      </c>
      <c r="K66" s="11" t="n">
        <v>0.458981389595496</v>
      </c>
      <c r="L66" s="11" t="n">
        <v>-1.12349243728882</v>
      </c>
      <c r="M66" s="11" t="n">
        <v>0.461390813994467</v>
      </c>
      <c r="N66" s="11" t="n">
        <v>0.777647714152597</v>
      </c>
      <c r="O66" s="12" t="n">
        <v>0.15813193844944</v>
      </c>
      <c r="P66" s="12" t="n">
        <v>0.314504785948922</v>
      </c>
      <c r="Q66" s="4" t="n">
        <f aca="false">RANK(N66,$N$7:$N$307,0)</f>
        <v>60</v>
      </c>
      <c r="R66" s="4" t="n">
        <f aca="false">RANK(O66,$O$7:$O$307,1)</f>
        <v>151</v>
      </c>
      <c r="S66" s="4" t="n">
        <f aca="false">RANK(J66,$J$7:$J$307,0)</f>
        <v>122</v>
      </c>
      <c r="T66" s="4" t="str">
        <f aca="false">IF(O66&lt;0.05,"YES","no")</f>
        <v>no</v>
      </c>
      <c r="U66" s="4" t="str">
        <f aca="false">IF(P66&lt;0.05,"YES","no")</f>
        <v>no</v>
      </c>
      <c r="V66" s="4" t="str">
        <f aca="false">IF(N66&gt;1,"YES","no")</f>
        <v>no</v>
      </c>
    </row>
    <row r="67" customFormat="false" ht="15" hidden="false" customHeight="false" outlineLevel="0" collapsed="false">
      <c r="A67" s="4" t="s">
        <v>135</v>
      </c>
      <c r="B67" s="4"/>
      <c r="C67" s="4" t="s">
        <v>61</v>
      </c>
      <c r="D67" s="8" t="n">
        <v>118.06106</v>
      </c>
      <c r="E67" s="9" t="n">
        <v>11.849</v>
      </c>
      <c r="F67" s="10" t="n">
        <v>10585729.0961941</v>
      </c>
      <c r="G67" s="10" t="n">
        <v>2545795.12697442</v>
      </c>
      <c r="H67" s="10" t="n">
        <v>16950482.8777536</v>
      </c>
      <c r="I67" s="10" t="n">
        <v>4008683.83059837</v>
      </c>
      <c r="J67" s="10" t="n">
        <v>13768105.9869738</v>
      </c>
      <c r="K67" s="11" t="n">
        <v>1.60125795055985</v>
      </c>
      <c r="L67" s="11" t="n">
        <v>0.679205733848605</v>
      </c>
      <c r="M67" s="11" t="n">
        <v>0.720230497386186</v>
      </c>
      <c r="N67" s="11" t="n">
        <v>0.760164260851311</v>
      </c>
      <c r="O67" s="12" t="n">
        <v>0.0102980619236377</v>
      </c>
      <c r="P67" s="12" t="n">
        <v>0.0807692088686714</v>
      </c>
      <c r="Q67" s="4" t="n">
        <f aca="false">RANK(N67,$N$7:$N$307,0)</f>
        <v>61</v>
      </c>
      <c r="R67" s="4" t="n">
        <f aca="false">RANK(O67,$O$7:$O$307,1)</f>
        <v>34</v>
      </c>
      <c r="S67" s="4" t="n">
        <f aca="false">RANK(J67,$J$7:$J$307,0)</f>
        <v>67</v>
      </c>
      <c r="T67" s="4" t="str">
        <f aca="false">IF(O67&lt;0.05,"YES","no")</f>
        <v>YES</v>
      </c>
      <c r="U67" s="4" t="str">
        <f aca="false">IF(P67&lt;0.05,"YES","no")</f>
        <v>no</v>
      </c>
      <c r="V67" s="4" t="str">
        <f aca="false">IF(N67&gt;1,"YES","no")</f>
        <v>no</v>
      </c>
    </row>
    <row r="68" customFormat="false" ht="15" hidden="false" customHeight="false" outlineLevel="0" collapsed="false">
      <c r="A68" s="4" t="s">
        <v>136</v>
      </c>
      <c r="B68" s="4" t="s">
        <v>137</v>
      </c>
      <c r="C68" s="4" t="s">
        <v>72</v>
      </c>
      <c r="D68" s="8" t="n">
        <v>281.24811</v>
      </c>
      <c r="E68" s="9" t="n">
        <v>3.644</v>
      </c>
      <c r="F68" s="10" t="n">
        <v>39718060.2569523</v>
      </c>
      <c r="G68" s="10" t="n">
        <v>30305719.8939419</v>
      </c>
      <c r="H68" s="10" t="n">
        <v>25320936.6130892</v>
      </c>
      <c r="I68" s="10" t="n">
        <v>18328885.0403321</v>
      </c>
      <c r="J68" s="10" t="n">
        <v>32519498.4350208</v>
      </c>
      <c r="K68" s="11" t="n">
        <v>0.637516949450144</v>
      </c>
      <c r="L68" s="11" t="n">
        <v>-0.649464395954918</v>
      </c>
      <c r="M68" s="11" t="n">
        <v>0.300336725541838</v>
      </c>
      <c r="N68" s="11" t="n">
        <v>0.755546880109686</v>
      </c>
      <c r="O68" s="12" t="n">
        <v>0.347771575495354</v>
      </c>
      <c r="P68" s="12" t="n">
        <v>0.520792259821401</v>
      </c>
      <c r="Q68" s="4" t="n">
        <f aca="false">RANK(N68,$N$7:$N$307,0)</f>
        <v>62</v>
      </c>
      <c r="R68" s="4" t="n">
        <f aca="false">RANK(O68,$O$7:$O$307,1)</f>
        <v>201</v>
      </c>
      <c r="S68" s="4" t="n">
        <f aca="false">RANK(J68,$J$7:$J$307,0)</f>
        <v>41</v>
      </c>
      <c r="T68" s="4" t="str">
        <f aca="false">IF(O68&lt;0.05,"YES","no")</f>
        <v>no</v>
      </c>
      <c r="U68" s="4" t="str">
        <f aca="false">IF(P68&lt;0.05,"YES","no")</f>
        <v>no</v>
      </c>
      <c r="V68" s="4" t="str">
        <f aca="false">IF(N68&gt;1,"YES","no")</f>
        <v>no</v>
      </c>
    </row>
    <row r="69" customFormat="false" ht="15" hidden="false" customHeight="false" outlineLevel="0" collapsed="false">
      <c r="A69" s="4" t="s">
        <v>138</v>
      </c>
      <c r="B69" s="4"/>
      <c r="C69" s="4" t="s">
        <v>61</v>
      </c>
      <c r="D69" s="8" t="n">
        <v>179.0561</v>
      </c>
      <c r="E69" s="9" t="n">
        <v>11.841</v>
      </c>
      <c r="F69" s="10" t="n">
        <v>44572438.9894992</v>
      </c>
      <c r="G69" s="10" t="n">
        <v>5045622.81291681</v>
      </c>
      <c r="H69" s="10" t="n">
        <v>52185532.0528476</v>
      </c>
      <c r="I69" s="10" t="n">
        <v>7484406.23002655</v>
      </c>
      <c r="J69" s="10" t="n">
        <v>48378985.5211734</v>
      </c>
      <c r="K69" s="11" t="n">
        <v>1.17080270310409</v>
      </c>
      <c r="L69" s="11" t="n">
        <v>0.227497981701767</v>
      </c>
      <c r="M69" s="11" t="n">
        <v>0.546940380431327</v>
      </c>
      <c r="N69" s="11" t="n">
        <v>0.739645364026475</v>
      </c>
      <c r="O69" s="12" t="n">
        <v>0.0696336026596529</v>
      </c>
      <c r="P69" s="12" t="n">
        <v>0.183857143864522</v>
      </c>
      <c r="Q69" s="4" t="n">
        <f aca="false">RANK(N69,$N$7:$N$307,0)</f>
        <v>63</v>
      </c>
      <c r="R69" s="4" t="n">
        <f aca="false">RANK(O69,$O$7:$O$307,1)</f>
        <v>114</v>
      </c>
      <c r="S69" s="4" t="n">
        <f aca="false">RANK(J69,$J$7:$J$307,0)</f>
        <v>32</v>
      </c>
      <c r="T69" s="4" t="str">
        <f aca="false">IF(O69&lt;0.05,"YES","no")</f>
        <v>no</v>
      </c>
      <c r="U69" s="4" t="str">
        <f aca="false">IF(P69&lt;0.05,"YES","no")</f>
        <v>no</v>
      </c>
      <c r="V69" s="4" t="str">
        <f aca="false">IF(N69&gt;1,"YES","no")</f>
        <v>no</v>
      </c>
    </row>
    <row r="70" customFormat="false" ht="15" hidden="false" customHeight="false" outlineLevel="0" collapsed="false">
      <c r="A70" s="4" t="s">
        <v>139</v>
      </c>
      <c r="B70" s="4"/>
      <c r="C70" s="4" t="s">
        <v>61</v>
      </c>
      <c r="D70" s="8" t="n">
        <v>174.04077</v>
      </c>
      <c r="E70" s="9" t="n">
        <v>9.006</v>
      </c>
      <c r="F70" s="10" t="n">
        <v>9901011.74209755</v>
      </c>
      <c r="G70" s="10" t="n">
        <v>5330182.2634434</v>
      </c>
      <c r="H70" s="10" t="n">
        <v>17441419.0906188</v>
      </c>
      <c r="I70" s="10" t="n">
        <v>5991806.41137804</v>
      </c>
      <c r="J70" s="10" t="n">
        <v>13671215.4163582</v>
      </c>
      <c r="K70" s="11" t="n">
        <v>1.76157947742458</v>
      </c>
      <c r="L70" s="11" t="n">
        <v>0.816869566572678</v>
      </c>
      <c r="M70" s="11" t="n">
        <v>0.588725429789489</v>
      </c>
      <c r="N70" s="11" t="n">
        <v>0.727823155739322</v>
      </c>
      <c r="O70" s="12" t="n">
        <v>0.0443505168001305</v>
      </c>
      <c r="P70" s="12" t="n">
        <v>0.154889976149417</v>
      </c>
      <c r="Q70" s="4" t="n">
        <f aca="false">RANK(N70,$N$7:$N$307,0)</f>
        <v>64</v>
      </c>
      <c r="R70" s="4" t="n">
        <f aca="false">RANK(O70,$O$7:$O$307,1)</f>
        <v>85</v>
      </c>
      <c r="S70" s="4" t="n">
        <f aca="false">RANK(J70,$J$7:$J$307,0)</f>
        <v>70</v>
      </c>
      <c r="T70" s="4" t="str">
        <f aca="false">IF(O70&lt;0.05,"YES","no")</f>
        <v>YES</v>
      </c>
      <c r="U70" s="4" t="str">
        <f aca="false">IF(P70&lt;0.05,"YES","no")</f>
        <v>no</v>
      </c>
      <c r="V70" s="4" t="str">
        <f aca="false">IF(N70&gt;1,"YES","no")</f>
        <v>no</v>
      </c>
    </row>
    <row r="71" customFormat="false" ht="15" hidden="false" customHeight="false" outlineLevel="0" collapsed="false">
      <c r="A71" s="4" t="s">
        <v>140</v>
      </c>
      <c r="B71" s="4"/>
      <c r="C71" s="4" t="s">
        <v>61</v>
      </c>
      <c r="D71" s="8" t="n">
        <v>508.00291</v>
      </c>
      <c r="E71" s="9" t="n">
        <v>10.408</v>
      </c>
      <c r="F71" s="10" t="n">
        <v>2692693.22901373</v>
      </c>
      <c r="G71" s="10" t="n">
        <v>3416340.9629753</v>
      </c>
      <c r="H71" s="10" t="n">
        <v>899879.940523938</v>
      </c>
      <c r="I71" s="10" t="n">
        <v>596585.942020813</v>
      </c>
      <c r="J71" s="10" t="n">
        <v>1796286.58476884</v>
      </c>
      <c r="K71" s="11" t="n">
        <v>0.334193264508465</v>
      </c>
      <c r="L71" s="11" t="n">
        <v>-1.5812454379639</v>
      </c>
      <c r="M71" s="11" t="n">
        <v>0.371734778113037</v>
      </c>
      <c r="N71" s="11" t="n">
        <v>0.725936449551408</v>
      </c>
      <c r="O71" s="12" t="n">
        <v>0.258174698074878</v>
      </c>
      <c r="P71" s="12" t="n">
        <v>0.420057211462368</v>
      </c>
      <c r="Q71" s="4" t="n">
        <f aca="false">RANK(N71,$N$7:$N$307,0)</f>
        <v>65</v>
      </c>
      <c r="R71" s="4" t="n">
        <f aca="false">RANK(O71,$O$7:$O$307,1)</f>
        <v>185</v>
      </c>
      <c r="S71" s="4" t="n">
        <f aca="false">RANK(J71,$J$7:$J$307,0)</f>
        <v>145</v>
      </c>
      <c r="T71" s="4" t="str">
        <f aca="false">IF(O71&lt;0.05,"YES","no")</f>
        <v>no</v>
      </c>
      <c r="U71" s="4" t="str">
        <f aca="false">IF(P71&lt;0.05,"YES","no")</f>
        <v>no</v>
      </c>
      <c r="V71" s="4" t="str">
        <f aca="false">IF(N71&gt;1,"YES","no")</f>
        <v>no</v>
      </c>
    </row>
    <row r="72" customFormat="false" ht="15" hidden="false" customHeight="false" outlineLevel="0" collapsed="false">
      <c r="A72" s="4" t="s">
        <v>141</v>
      </c>
      <c r="B72" s="4" t="s">
        <v>142</v>
      </c>
      <c r="C72" s="4" t="s">
        <v>61</v>
      </c>
      <c r="D72" s="8" t="n">
        <v>606.07472</v>
      </c>
      <c r="E72" s="9" t="n">
        <v>8.878</v>
      </c>
      <c r="F72" s="10" t="n">
        <v>8805140.8785389</v>
      </c>
      <c r="G72" s="10" t="n">
        <v>3616147.39535309</v>
      </c>
      <c r="H72" s="10" t="n">
        <v>14745945.4063531</v>
      </c>
      <c r="I72" s="10" t="n">
        <v>2082704.72895385</v>
      </c>
      <c r="J72" s="10" t="n">
        <v>11775543.142446</v>
      </c>
      <c r="K72" s="11" t="n">
        <v>1.67469727171474</v>
      </c>
      <c r="L72" s="11" t="n">
        <v>0.74390032896278</v>
      </c>
      <c r="M72" s="11" t="n">
        <v>0.740769462940517</v>
      </c>
      <c r="N72" s="11" t="n">
        <v>0.718174353193425</v>
      </c>
      <c r="O72" s="12" t="n">
        <v>0.00825174154145099</v>
      </c>
      <c r="P72" s="12" t="n">
        <v>0.0807692088686714</v>
      </c>
      <c r="Q72" s="4" t="n">
        <f aca="false">RANK(N72,$N$7:$N$307,0)</f>
        <v>66</v>
      </c>
      <c r="R72" s="4" t="n">
        <f aca="false">RANK(O72,$O$7:$O$307,1)</f>
        <v>28</v>
      </c>
      <c r="S72" s="4" t="n">
        <f aca="false">RANK(J72,$J$7:$J$307,0)</f>
        <v>77</v>
      </c>
      <c r="T72" s="4" t="str">
        <f aca="false">IF(O72&lt;0.05,"YES","no")</f>
        <v>YES</v>
      </c>
      <c r="U72" s="4" t="str">
        <f aca="false">IF(P72&lt;0.05,"YES","no")</f>
        <v>no</v>
      </c>
      <c r="V72" s="4" t="str">
        <f aca="false">IF(N72&gt;1,"YES","no")</f>
        <v>no</v>
      </c>
    </row>
    <row r="73" customFormat="false" ht="15" hidden="false" customHeight="false" outlineLevel="0" collapsed="false">
      <c r="A73" s="4" t="s">
        <v>143</v>
      </c>
      <c r="B73" s="4"/>
      <c r="C73" s="4" t="s">
        <v>61</v>
      </c>
      <c r="D73" s="8" t="n">
        <v>104.03524</v>
      </c>
      <c r="E73" s="9" t="n">
        <v>11.442</v>
      </c>
      <c r="F73" s="10" t="n">
        <v>9445701.47809681</v>
      </c>
      <c r="G73" s="10" t="n">
        <v>2845878.08741766</v>
      </c>
      <c r="H73" s="10" t="n">
        <v>14884814.417986</v>
      </c>
      <c r="I73" s="10" t="n">
        <v>1480848.85556302</v>
      </c>
      <c r="J73" s="10" t="n">
        <v>12165257.9480414</v>
      </c>
      <c r="K73" s="11" t="n">
        <v>1.57582943442598</v>
      </c>
      <c r="L73" s="11" t="n">
        <v>0.65611138795123</v>
      </c>
      <c r="M73" s="11" t="n">
        <v>0.795603795684794</v>
      </c>
      <c r="N73" s="11" t="n">
        <v>0.717993462814335</v>
      </c>
      <c r="O73" s="12" t="n">
        <v>0.00365578972252306</v>
      </c>
      <c r="P73" s="12" t="n">
        <v>0.0804254332941195</v>
      </c>
      <c r="Q73" s="4" t="n">
        <f aca="false">RANK(N73,$N$7:$N$307,0)</f>
        <v>67</v>
      </c>
      <c r="R73" s="4" t="n">
        <f aca="false">RANK(O73,$O$7:$O$307,1)</f>
        <v>13</v>
      </c>
      <c r="S73" s="4" t="n">
        <f aca="false">RANK(J73,$J$7:$J$307,0)</f>
        <v>76</v>
      </c>
      <c r="T73" s="4" t="str">
        <f aca="false">IF(O73&lt;0.05,"YES","no")</f>
        <v>YES</v>
      </c>
      <c r="U73" s="4" t="str">
        <f aca="false">IF(P73&lt;0.05,"YES","no")</f>
        <v>no</v>
      </c>
      <c r="V73" s="4" t="str">
        <f aca="false">IF(N73&gt;1,"YES","no")</f>
        <v>no</v>
      </c>
    </row>
    <row r="74" customFormat="false" ht="15" hidden="false" customHeight="false" outlineLevel="0" collapsed="false">
      <c r="A74" s="4" t="s">
        <v>144</v>
      </c>
      <c r="B74" s="4"/>
      <c r="C74" s="4" t="s">
        <v>61</v>
      </c>
      <c r="D74" s="8" t="n">
        <v>162.07603</v>
      </c>
      <c r="E74" s="9" t="n">
        <v>9.989</v>
      </c>
      <c r="F74" s="10" t="n">
        <v>13681239.5569969</v>
      </c>
      <c r="G74" s="10" t="n">
        <v>9098411.87233205</v>
      </c>
      <c r="H74" s="10" t="n">
        <v>22808573.0636711</v>
      </c>
      <c r="I74" s="10" t="n">
        <v>11253991.9839863</v>
      </c>
      <c r="J74" s="10" t="n">
        <v>18244906.310334</v>
      </c>
      <c r="K74" s="11" t="n">
        <v>1.66714229135811</v>
      </c>
      <c r="L74" s="11" t="n">
        <v>0.737377244261918</v>
      </c>
      <c r="M74" s="11" t="n">
        <v>0.43895417744078</v>
      </c>
      <c r="N74" s="11" t="n">
        <v>0.709929478460501</v>
      </c>
      <c r="O74" s="12" t="n">
        <v>0.154738509777728</v>
      </c>
      <c r="P74" s="12" t="n">
        <v>0.310508609620641</v>
      </c>
      <c r="Q74" s="4" t="n">
        <f aca="false">RANK(N74,$N$7:$N$307,0)</f>
        <v>68</v>
      </c>
      <c r="R74" s="4" t="n">
        <f aca="false">RANK(O74,$O$7:$O$307,1)</f>
        <v>150</v>
      </c>
      <c r="S74" s="4" t="n">
        <f aca="false">RANK(J74,$J$7:$J$307,0)</f>
        <v>55</v>
      </c>
      <c r="T74" s="4" t="str">
        <f aca="false">IF(O74&lt;0.05,"YES","no")</f>
        <v>no</v>
      </c>
      <c r="U74" s="4" t="str">
        <f aca="false">IF(P74&lt;0.05,"YES","no")</f>
        <v>no</v>
      </c>
      <c r="V74" s="4" t="str">
        <f aca="false">IF(N74&gt;1,"YES","no")</f>
        <v>no</v>
      </c>
    </row>
    <row r="75" customFormat="false" ht="15" hidden="false" customHeight="false" outlineLevel="0" collapsed="false">
      <c r="A75" s="4" t="s">
        <v>145</v>
      </c>
      <c r="B75" s="4"/>
      <c r="C75" s="4" t="s">
        <v>61</v>
      </c>
      <c r="D75" s="8" t="n">
        <v>167.02115</v>
      </c>
      <c r="E75" s="9" t="n">
        <v>8.643</v>
      </c>
      <c r="F75" s="10" t="n">
        <v>12653857.3101237</v>
      </c>
      <c r="G75" s="10" t="n">
        <v>10019662.0202329</v>
      </c>
      <c r="H75" s="10" t="n">
        <v>16362531.1114436</v>
      </c>
      <c r="I75" s="10" t="n">
        <v>2580235.70541303</v>
      </c>
      <c r="J75" s="10" t="n">
        <v>14508194.2107837</v>
      </c>
      <c r="K75" s="11" t="n">
        <v>1.29308642498701</v>
      </c>
      <c r="L75" s="11" t="n">
        <v>0.370818702629481</v>
      </c>
      <c r="M75" s="11" t="n">
        <v>0.267529976368849</v>
      </c>
      <c r="N75" s="11" t="n">
        <v>0.673939782242396</v>
      </c>
      <c r="O75" s="12" t="n">
        <v>0.415648275205103</v>
      </c>
      <c r="P75" s="12" t="n">
        <v>0.560627692534966</v>
      </c>
      <c r="Q75" s="4" t="n">
        <f aca="false">RANK(N75,$N$7:$N$307,0)</f>
        <v>69</v>
      </c>
      <c r="R75" s="4" t="n">
        <f aca="false">RANK(O75,$O$7:$O$307,1)</f>
        <v>222</v>
      </c>
      <c r="S75" s="4" t="n">
        <f aca="false">RANK(J75,$J$7:$J$307,0)</f>
        <v>65</v>
      </c>
      <c r="T75" s="4" t="str">
        <f aca="false">IF(O75&lt;0.05,"YES","no")</f>
        <v>no</v>
      </c>
      <c r="U75" s="4" t="str">
        <f aca="false">IF(P75&lt;0.05,"YES","no")</f>
        <v>no</v>
      </c>
      <c r="V75" s="4" t="str">
        <f aca="false">IF(N75&gt;1,"YES","no")</f>
        <v>no</v>
      </c>
    </row>
    <row r="76" customFormat="false" ht="15" hidden="false" customHeight="false" outlineLevel="0" collapsed="false">
      <c r="A76" s="4" t="s">
        <v>146</v>
      </c>
      <c r="B76" s="4"/>
      <c r="C76" s="4" t="s">
        <v>61</v>
      </c>
      <c r="D76" s="8" t="n">
        <v>112.05047</v>
      </c>
      <c r="E76" s="9" t="n">
        <v>9.687</v>
      </c>
      <c r="F76" s="10" t="n">
        <v>6985669.15717463</v>
      </c>
      <c r="G76" s="10" t="n">
        <v>5764422.17999759</v>
      </c>
      <c r="H76" s="10" t="n">
        <v>12917805.3873586</v>
      </c>
      <c r="I76" s="10" t="n">
        <v>2514921.30707763</v>
      </c>
      <c r="J76" s="10" t="n">
        <v>9951737.2722666</v>
      </c>
      <c r="K76" s="11" t="n">
        <v>1.84918654129094</v>
      </c>
      <c r="L76" s="11" t="n">
        <v>0.886890767533197</v>
      </c>
      <c r="M76" s="11" t="n">
        <v>0.5899409747585</v>
      </c>
      <c r="N76" s="11" t="n">
        <v>0.635980876937972</v>
      </c>
      <c r="O76" s="12" t="n">
        <v>0.0550165673670518</v>
      </c>
      <c r="P76" s="12" t="n">
        <v>0.16869535466284</v>
      </c>
      <c r="Q76" s="4" t="n">
        <f aca="false">RANK(N76,$N$7:$N$307,0)</f>
        <v>70</v>
      </c>
      <c r="R76" s="4" t="n">
        <f aca="false">RANK(O76,$O$7:$O$307,1)</f>
        <v>98</v>
      </c>
      <c r="S76" s="4" t="n">
        <f aca="false">RANK(J76,$J$7:$J$307,0)</f>
        <v>82</v>
      </c>
      <c r="T76" s="4" t="str">
        <f aca="false">IF(O76&lt;0.05,"YES","no")</f>
        <v>no</v>
      </c>
      <c r="U76" s="4" t="str">
        <f aca="false">IF(P76&lt;0.05,"YES","no")</f>
        <v>no</v>
      </c>
      <c r="V76" s="4" t="str">
        <f aca="false">IF(N76&gt;1,"YES","no")</f>
        <v>no</v>
      </c>
    </row>
    <row r="77" customFormat="false" ht="15" hidden="false" customHeight="false" outlineLevel="0" collapsed="false">
      <c r="A77" s="4" t="s">
        <v>147</v>
      </c>
      <c r="B77" s="4" t="s">
        <v>148</v>
      </c>
      <c r="C77" s="4" t="s">
        <v>61</v>
      </c>
      <c r="D77" s="8" t="n">
        <v>110.02696</v>
      </c>
      <c r="E77" s="9" t="n">
        <v>11.333</v>
      </c>
      <c r="F77" s="10" t="n">
        <v>11707960.8109509</v>
      </c>
      <c r="G77" s="10" t="n">
        <v>4462177.22593191</v>
      </c>
      <c r="H77" s="10" t="n">
        <v>19143096.6733291</v>
      </c>
      <c r="I77" s="10" t="n">
        <v>14484646.2958537</v>
      </c>
      <c r="J77" s="10" t="n">
        <v>15425528.74214</v>
      </c>
      <c r="K77" s="11" t="n">
        <v>1.63504960278171</v>
      </c>
      <c r="L77" s="11" t="n">
        <v>0.709334403675461</v>
      </c>
      <c r="M77" s="11" t="n">
        <v>0.355207262283396</v>
      </c>
      <c r="N77" s="11" t="n">
        <v>0.63137475279824</v>
      </c>
      <c r="O77" s="12" t="n">
        <v>0.275212926723874</v>
      </c>
      <c r="P77" s="12" t="n">
        <v>0.43830206848617</v>
      </c>
      <c r="Q77" s="4" t="n">
        <f aca="false">RANK(N77,$N$7:$N$307,0)</f>
        <v>71</v>
      </c>
      <c r="R77" s="4" t="n">
        <f aca="false">RANK(O77,$O$7:$O$307,1)</f>
        <v>189</v>
      </c>
      <c r="S77" s="4" t="n">
        <f aca="false">RANK(J77,$J$7:$J$307,0)</f>
        <v>63</v>
      </c>
      <c r="T77" s="4" t="str">
        <f aca="false">IF(O77&lt;0.05,"YES","no")</f>
        <v>no</v>
      </c>
      <c r="U77" s="4" t="str">
        <f aca="false">IF(P77&lt;0.05,"YES","no")</f>
        <v>no</v>
      </c>
      <c r="V77" s="4" t="str">
        <f aca="false">IF(N77&gt;1,"YES","no")</f>
        <v>no</v>
      </c>
    </row>
    <row r="78" customFormat="false" ht="15" hidden="false" customHeight="false" outlineLevel="0" collapsed="false">
      <c r="A78" s="4" t="s">
        <v>149</v>
      </c>
      <c r="B78" s="4"/>
      <c r="C78" s="4" t="s">
        <v>61</v>
      </c>
      <c r="D78" s="8" t="n">
        <v>128.03532</v>
      </c>
      <c r="E78" s="9" t="n">
        <v>7.876</v>
      </c>
      <c r="F78" s="10" t="n">
        <v>21232926.0228117</v>
      </c>
      <c r="G78" s="10" t="n">
        <v>9575392.22937372</v>
      </c>
      <c r="H78" s="10" t="n">
        <v>23823870.5255698</v>
      </c>
      <c r="I78" s="10" t="n">
        <v>3470763.46908552</v>
      </c>
      <c r="J78" s="10" t="n">
        <v>22528398.2741908</v>
      </c>
      <c r="K78" s="11" t="n">
        <v>1.12202484480822</v>
      </c>
      <c r="L78" s="11" t="n">
        <v>0.166104621655059</v>
      </c>
      <c r="M78" s="11" t="n">
        <v>0.19333062254161</v>
      </c>
      <c r="N78" s="11" t="n">
        <v>0.62922754739169</v>
      </c>
      <c r="O78" s="12" t="n">
        <v>0.555107258193865</v>
      </c>
      <c r="P78" s="12" t="n">
        <v>0.681652568082433</v>
      </c>
      <c r="Q78" s="4" t="n">
        <f aca="false">RANK(N78,$N$7:$N$307,0)</f>
        <v>72</v>
      </c>
      <c r="R78" s="4" t="n">
        <f aca="false">RANK(O78,$O$7:$O$307,1)</f>
        <v>244</v>
      </c>
      <c r="S78" s="4" t="n">
        <f aca="false">RANK(J78,$J$7:$J$307,0)</f>
        <v>51</v>
      </c>
      <c r="T78" s="4" t="str">
        <f aca="false">IF(O78&lt;0.05,"YES","no")</f>
        <v>no</v>
      </c>
      <c r="U78" s="4" t="str">
        <f aca="false">IF(P78&lt;0.05,"YES","no")</f>
        <v>no</v>
      </c>
      <c r="V78" s="4" t="str">
        <f aca="false">IF(N78&gt;1,"YES","no")</f>
        <v>no</v>
      </c>
    </row>
    <row r="79" customFormat="false" ht="15" hidden="false" customHeight="false" outlineLevel="0" collapsed="false">
      <c r="A79" s="4" t="s">
        <v>150</v>
      </c>
      <c r="B79" s="4"/>
      <c r="C79" s="4" t="s">
        <v>61</v>
      </c>
      <c r="D79" s="8" t="n">
        <v>558.06456</v>
      </c>
      <c r="E79" s="9" t="n">
        <v>9.061</v>
      </c>
      <c r="F79" s="10" t="n">
        <v>6812886.01939738</v>
      </c>
      <c r="G79" s="10" t="n">
        <v>4095713.37175948</v>
      </c>
      <c r="H79" s="10" t="n">
        <v>12644922.8236012</v>
      </c>
      <c r="I79" s="10" t="n">
        <v>5392499.53970065</v>
      </c>
      <c r="J79" s="10" t="n">
        <v>9728904.4214993</v>
      </c>
      <c r="K79" s="11" t="n">
        <v>1.85603029136244</v>
      </c>
      <c r="L79" s="11" t="n">
        <v>0.892220256177639</v>
      </c>
      <c r="M79" s="11" t="n">
        <v>0.554964512379827</v>
      </c>
      <c r="N79" s="11" t="n">
        <v>0.629195612008732</v>
      </c>
      <c r="O79" s="12" t="n">
        <v>0.0630401180328898</v>
      </c>
      <c r="P79" s="12" t="n">
        <v>0.172868249839214</v>
      </c>
      <c r="Q79" s="4" t="n">
        <f aca="false">RANK(N79,$N$7:$N$307,0)</f>
        <v>73</v>
      </c>
      <c r="R79" s="4" t="n">
        <f aca="false">RANK(O79,$O$7:$O$307,1)</f>
        <v>109</v>
      </c>
      <c r="S79" s="4" t="n">
        <f aca="false">RANK(J79,$J$7:$J$307,0)</f>
        <v>83</v>
      </c>
      <c r="T79" s="4" t="str">
        <f aca="false">IF(O79&lt;0.05,"YES","no")</f>
        <v>no</v>
      </c>
      <c r="U79" s="4" t="str">
        <f aca="false">IF(P79&lt;0.05,"YES","no")</f>
        <v>no</v>
      </c>
      <c r="V79" s="4" t="str">
        <f aca="false">IF(N79&gt;1,"YES","no")</f>
        <v>no</v>
      </c>
    </row>
    <row r="80" customFormat="false" ht="15" hidden="false" customHeight="false" outlineLevel="0" collapsed="false">
      <c r="A80" s="4" t="s">
        <v>151</v>
      </c>
      <c r="B80" s="4"/>
      <c r="C80" s="4" t="s">
        <v>61</v>
      </c>
      <c r="D80" s="8" t="n">
        <v>229.01174</v>
      </c>
      <c r="E80" s="9" t="n">
        <v>9.596</v>
      </c>
      <c r="F80" s="10" t="n">
        <v>3883554.2525929</v>
      </c>
      <c r="G80" s="10" t="n">
        <v>1478273.75688052</v>
      </c>
      <c r="H80" s="10" t="n">
        <v>7685842.98519995</v>
      </c>
      <c r="I80" s="10" t="n">
        <v>1812831.08134872</v>
      </c>
      <c r="J80" s="10" t="n">
        <v>5784698.61889642</v>
      </c>
      <c r="K80" s="11" t="n">
        <v>1.97907444709145</v>
      </c>
      <c r="L80" s="11" t="n">
        <v>0.984825883446313</v>
      </c>
      <c r="M80" s="11" t="n">
        <v>0.783073479030667</v>
      </c>
      <c r="N80" s="11" t="n">
        <v>0.608833897004563</v>
      </c>
      <c r="O80" s="12" t="n">
        <v>0.00280592357273094</v>
      </c>
      <c r="P80" s="12" t="n">
        <v>0.0772944988578363</v>
      </c>
      <c r="Q80" s="4" t="n">
        <f aca="false">RANK(N80,$N$7:$N$307,0)</f>
        <v>74</v>
      </c>
      <c r="R80" s="4" t="n">
        <f aca="false">RANK(O80,$O$7:$O$307,1)</f>
        <v>10</v>
      </c>
      <c r="S80" s="4" t="n">
        <f aca="false">RANK(J80,$J$7:$J$307,0)</f>
        <v>95</v>
      </c>
      <c r="T80" s="4" t="str">
        <f aca="false">IF(O80&lt;0.05,"YES","no")</f>
        <v>YES</v>
      </c>
      <c r="U80" s="4" t="str">
        <f aca="false">IF(P80&lt;0.05,"YES","no")</f>
        <v>no</v>
      </c>
      <c r="V80" s="4" t="str">
        <f aca="false">IF(N80&gt;1,"YES","no")</f>
        <v>no</v>
      </c>
    </row>
    <row r="81" customFormat="false" ht="15" hidden="false" customHeight="false" outlineLevel="0" collapsed="false">
      <c r="A81" s="4" t="s">
        <v>152</v>
      </c>
      <c r="B81" s="4" t="s">
        <v>153</v>
      </c>
      <c r="C81" s="4" t="s">
        <v>61</v>
      </c>
      <c r="D81" s="8" t="n">
        <v>133.09704</v>
      </c>
      <c r="E81" s="9" t="n">
        <v>17</v>
      </c>
      <c r="F81" s="10" t="n">
        <v>14938529.6141376</v>
      </c>
      <c r="G81" s="10" t="n">
        <v>7874348.64398357</v>
      </c>
      <c r="H81" s="10" t="n">
        <v>22062840.1531153</v>
      </c>
      <c r="I81" s="10" t="n">
        <v>8323489.78483324</v>
      </c>
      <c r="J81" s="10" t="n">
        <v>18500684.8836265</v>
      </c>
      <c r="K81" s="11" t="n">
        <v>1.47690841890057</v>
      </c>
      <c r="L81" s="11" t="n">
        <v>0.562580369302228</v>
      </c>
      <c r="M81" s="11" t="n">
        <v>0.433920979270501</v>
      </c>
      <c r="N81" s="11" t="n">
        <v>0.59319258809367</v>
      </c>
      <c r="O81" s="12" t="n">
        <v>0.158819692572213</v>
      </c>
      <c r="P81" s="12" t="n">
        <v>0.314504785948922</v>
      </c>
      <c r="Q81" s="4" t="n">
        <f aca="false">RANK(N81,$N$7:$N$307,0)</f>
        <v>75</v>
      </c>
      <c r="R81" s="4" t="n">
        <f aca="false">RANK(O81,$O$7:$O$307,1)</f>
        <v>152</v>
      </c>
      <c r="S81" s="4" t="n">
        <f aca="false">RANK(J81,$J$7:$J$307,0)</f>
        <v>54</v>
      </c>
      <c r="T81" s="4" t="str">
        <f aca="false">IF(O81&lt;0.05,"YES","no")</f>
        <v>no</v>
      </c>
      <c r="U81" s="4" t="str">
        <f aca="false">IF(P81&lt;0.05,"YES","no")</f>
        <v>no</v>
      </c>
      <c r="V81" s="4" t="str">
        <f aca="false">IF(N81&gt;1,"YES","no")</f>
        <v>no</v>
      </c>
    </row>
    <row r="82" customFormat="false" ht="15" hidden="false" customHeight="false" outlineLevel="0" collapsed="false">
      <c r="A82" s="4" t="s">
        <v>154</v>
      </c>
      <c r="B82" s="4"/>
      <c r="C82" s="4" t="s">
        <v>61</v>
      </c>
      <c r="D82" s="8" t="n">
        <v>134.04719</v>
      </c>
      <c r="E82" s="9" t="n">
        <v>7.989</v>
      </c>
      <c r="F82" s="10" t="n">
        <v>23469587.3163344</v>
      </c>
      <c r="G82" s="10" t="n">
        <v>5729138.5680804</v>
      </c>
      <c r="H82" s="10" t="n">
        <v>29659770.1548055</v>
      </c>
      <c r="I82" s="10" t="n">
        <v>6359440.33572018</v>
      </c>
      <c r="J82" s="10" t="n">
        <v>26564678.73557</v>
      </c>
      <c r="K82" s="11" t="n">
        <v>1.26375337388923</v>
      </c>
      <c r="L82" s="11" t="n">
        <v>0.337714943749865</v>
      </c>
      <c r="M82" s="11" t="n">
        <v>0.488724381033824</v>
      </c>
      <c r="N82" s="11" t="n">
        <v>0.586488343290728</v>
      </c>
      <c r="O82" s="12" t="n">
        <v>0.107227175187149</v>
      </c>
      <c r="P82" s="12" t="n">
        <v>0.239076886898754</v>
      </c>
      <c r="Q82" s="4" t="n">
        <f aca="false">RANK(N82,$N$7:$N$307,0)</f>
        <v>76</v>
      </c>
      <c r="R82" s="4" t="n">
        <f aca="false">RANK(O82,$O$7:$O$307,1)</f>
        <v>135</v>
      </c>
      <c r="S82" s="4" t="n">
        <f aca="false">RANK(J82,$J$7:$J$307,0)</f>
        <v>48</v>
      </c>
      <c r="T82" s="4" t="str">
        <f aca="false">IF(O82&lt;0.05,"YES","no")</f>
        <v>no</v>
      </c>
      <c r="U82" s="4" t="str">
        <f aca="false">IF(P82&lt;0.05,"YES","no")</f>
        <v>no</v>
      </c>
      <c r="V82" s="4" t="str">
        <f aca="false">IF(N82&gt;1,"YES","no")</f>
        <v>no</v>
      </c>
    </row>
    <row r="83" customFormat="false" ht="15" hidden="false" customHeight="false" outlineLevel="0" collapsed="false">
      <c r="A83" s="4" t="s">
        <v>155</v>
      </c>
      <c r="B83" s="4"/>
      <c r="C83" s="4" t="s">
        <v>61</v>
      </c>
      <c r="D83" s="8" t="n">
        <v>195.051</v>
      </c>
      <c r="E83" s="9" t="n">
        <v>9.672</v>
      </c>
      <c r="F83" s="10" t="n">
        <v>2827371.33325765</v>
      </c>
      <c r="G83" s="10" t="n">
        <v>1083876.69782698</v>
      </c>
      <c r="H83" s="10" t="n">
        <v>5614718.70770907</v>
      </c>
      <c r="I83" s="10" t="n">
        <v>464295.102181698</v>
      </c>
      <c r="J83" s="10" t="n">
        <v>4221045.02048336</v>
      </c>
      <c r="K83" s="11" t="n">
        <v>1.98584410956728</v>
      </c>
      <c r="L83" s="11" t="n">
        <v>0.989752374537236</v>
      </c>
      <c r="M83" s="11" t="n">
        <v>0.877645938743992</v>
      </c>
      <c r="N83" s="11" t="n">
        <v>0.58476014407152</v>
      </c>
      <c r="O83" s="12" t="n">
        <v>0.000754189270772232</v>
      </c>
      <c r="P83" s="12" t="n">
        <v>0.0635709329196314</v>
      </c>
      <c r="Q83" s="4" t="n">
        <f aca="false">RANK(N83,$N$7:$N$307,0)</f>
        <v>77</v>
      </c>
      <c r="R83" s="4" t="n">
        <f aca="false">RANK(O83,$O$7:$O$307,1)</f>
        <v>3</v>
      </c>
      <c r="S83" s="4" t="n">
        <f aca="false">RANK(J83,$J$7:$J$307,0)</f>
        <v>108</v>
      </c>
      <c r="T83" s="4" t="str">
        <f aca="false">IF(O83&lt;0.05,"YES","no")</f>
        <v>YES</v>
      </c>
      <c r="U83" s="4" t="str">
        <f aca="false">IF(P83&lt;0.05,"YES","no")</f>
        <v>no</v>
      </c>
      <c r="V83" s="4" t="str">
        <f aca="false">IF(N83&gt;1,"YES","no")</f>
        <v>no</v>
      </c>
    </row>
    <row r="84" customFormat="false" ht="15" hidden="false" customHeight="false" outlineLevel="0" collapsed="false">
      <c r="A84" s="4" t="s">
        <v>156</v>
      </c>
      <c r="B84" s="4" t="s">
        <v>157</v>
      </c>
      <c r="C84" s="4" t="s">
        <v>72</v>
      </c>
      <c r="D84" s="8" t="n">
        <v>137.0709</v>
      </c>
      <c r="E84" s="9" t="n">
        <v>7.233</v>
      </c>
      <c r="F84" s="10" t="n">
        <v>41981480.506624</v>
      </c>
      <c r="G84" s="10" t="n">
        <v>8085002.25635362</v>
      </c>
      <c r="H84" s="10" t="n">
        <v>46461184.3538108</v>
      </c>
      <c r="I84" s="10" t="n">
        <v>23946129.4039877</v>
      </c>
      <c r="J84" s="10" t="n">
        <v>44221332.4302174</v>
      </c>
      <c r="K84" s="11" t="n">
        <v>1.1067066666808</v>
      </c>
      <c r="L84" s="11" t="n">
        <v>0.146272885530988</v>
      </c>
      <c r="M84" s="11" t="n">
        <v>0.136016879745797</v>
      </c>
      <c r="N84" s="11" t="n">
        <v>0.583049804061429</v>
      </c>
      <c r="O84" s="12" t="n">
        <v>0.679050421932099</v>
      </c>
      <c r="P84" s="12" t="n">
        <v>0.780130446570847</v>
      </c>
      <c r="Q84" s="4" t="n">
        <f aca="false">RANK(N84,$N$7:$N$307,0)</f>
        <v>78</v>
      </c>
      <c r="R84" s="4" t="n">
        <f aca="false">RANK(O84,$O$7:$O$307,1)</f>
        <v>262</v>
      </c>
      <c r="S84" s="4" t="n">
        <f aca="false">RANK(J84,$J$7:$J$307,0)</f>
        <v>36</v>
      </c>
      <c r="T84" s="4" t="str">
        <f aca="false">IF(O84&lt;0.05,"YES","no")</f>
        <v>no</v>
      </c>
      <c r="U84" s="4" t="str">
        <f aca="false">IF(P84&lt;0.05,"YES","no")</f>
        <v>no</v>
      </c>
      <c r="V84" s="4" t="str">
        <f aca="false">IF(N84&gt;1,"YES","no")</f>
        <v>no</v>
      </c>
    </row>
    <row r="85" customFormat="false" ht="15" hidden="false" customHeight="false" outlineLevel="0" collapsed="false">
      <c r="A85" s="4" t="s">
        <v>158</v>
      </c>
      <c r="B85" s="4"/>
      <c r="C85" s="4" t="s">
        <v>72</v>
      </c>
      <c r="D85" s="8" t="n">
        <v>611.14469</v>
      </c>
      <c r="E85" s="9" t="n">
        <v>10.174</v>
      </c>
      <c r="F85" s="10" t="n">
        <v>6068610.1099555</v>
      </c>
      <c r="G85" s="10" t="n">
        <v>1673126.6463437</v>
      </c>
      <c r="H85" s="10" t="n">
        <v>10072641.0539612</v>
      </c>
      <c r="I85" s="10" t="n">
        <v>2699187.41546384</v>
      </c>
      <c r="J85" s="10" t="n">
        <v>8070625.58195833</v>
      </c>
      <c r="K85" s="11" t="n">
        <v>1.6597937371915</v>
      </c>
      <c r="L85" s="11" t="n">
        <v>0.731003968789079</v>
      </c>
      <c r="M85" s="11" t="n">
        <v>0.698702477129358</v>
      </c>
      <c r="N85" s="11" t="n">
        <v>0.582087772051104</v>
      </c>
      <c r="O85" s="12" t="n">
        <v>0.0141758703464229</v>
      </c>
      <c r="P85" s="12" t="n">
        <v>0.0846309044138986</v>
      </c>
      <c r="Q85" s="4" t="n">
        <f aca="false">RANK(N85,$N$7:$N$307,0)</f>
        <v>79</v>
      </c>
      <c r="R85" s="4" t="n">
        <f aca="false">RANK(O85,$O$7:$O$307,1)</f>
        <v>49</v>
      </c>
      <c r="S85" s="4" t="n">
        <f aca="false">RANK(J85,$J$7:$J$307,0)</f>
        <v>87</v>
      </c>
      <c r="T85" s="4" t="str">
        <f aca="false">IF(O85&lt;0.05,"YES","no")</f>
        <v>YES</v>
      </c>
      <c r="U85" s="4" t="str">
        <f aca="false">IF(P85&lt;0.05,"YES","no")</f>
        <v>no</v>
      </c>
      <c r="V85" s="4" t="str">
        <f aca="false">IF(N85&gt;1,"YES","no")</f>
        <v>no</v>
      </c>
    </row>
    <row r="86" customFormat="false" ht="15" hidden="false" customHeight="false" outlineLevel="0" collapsed="false">
      <c r="A86" s="4" t="s">
        <v>159</v>
      </c>
      <c r="B86" s="4"/>
      <c r="C86" s="4" t="s">
        <v>72</v>
      </c>
      <c r="D86" s="8" t="n">
        <v>137.07089</v>
      </c>
      <c r="E86" s="9" t="n">
        <v>7.879</v>
      </c>
      <c r="F86" s="10" t="n">
        <v>39338648.697002</v>
      </c>
      <c r="G86" s="10" t="n">
        <v>7207730.90806247</v>
      </c>
      <c r="H86" s="10" t="n">
        <v>43705576.8727638</v>
      </c>
      <c r="I86" s="10" t="n">
        <v>22268733.3174681</v>
      </c>
      <c r="J86" s="10" t="n">
        <v>41522112.7848829</v>
      </c>
      <c r="K86" s="11" t="n">
        <v>1.11100859639072</v>
      </c>
      <c r="L86" s="11" t="n">
        <v>0.151869979573345</v>
      </c>
      <c r="M86" s="11" t="n">
        <v>0.143031990908569</v>
      </c>
      <c r="N86" s="11" t="n">
        <v>0.575814576237442</v>
      </c>
      <c r="O86" s="12" t="n">
        <v>0.663652359863077</v>
      </c>
      <c r="P86" s="12" t="n">
        <v>0.770239098711773</v>
      </c>
      <c r="Q86" s="4" t="n">
        <f aca="false">RANK(N86,$N$7:$N$307,0)</f>
        <v>80</v>
      </c>
      <c r="R86" s="4" t="n">
        <f aca="false">RANK(O86,$O$7:$O$307,1)</f>
        <v>259</v>
      </c>
      <c r="S86" s="4" t="n">
        <f aca="false">RANK(J86,$J$7:$J$307,0)</f>
        <v>38</v>
      </c>
      <c r="T86" s="4" t="str">
        <f aca="false">IF(O86&lt;0.05,"YES","no")</f>
        <v>no</v>
      </c>
      <c r="U86" s="4" t="str">
        <f aca="false">IF(P86&lt;0.05,"YES","no")</f>
        <v>no</v>
      </c>
      <c r="V86" s="4" t="str">
        <f aca="false">IF(N86&gt;1,"YES","no")</f>
        <v>no</v>
      </c>
    </row>
    <row r="87" customFormat="false" ht="15" hidden="false" customHeight="false" outlineLevel="0" collapsed="false">
      <c r="A87" s="4" t="s">
        <v>160</v>
      </c>
      <c r="B87" s="4"/>
      <c r="C87" s="4" t="s">
        <v>61</v>
      </c>
      <c r="D87" s="8" t="n">
        <v>147.02994</v>
      </c>
      <c r="E87" s="9" t="n">
        <v>9.279</v>
      </c>
      <c r="F87" s="10" t="n">
        <v>8006592.01136613</v>
      </c>
      <c r="G87" s="10" t="n">
        <v>3031864.22026105</v>
      </c>
      <c r="H87" s="10" t="n">
        <v>12376479.1927363</v>
      </c>
      <c r="I87" s="10" t="n">
        <v>2689951.69073372</v>
      </c>
      <c r="J87" s="10" t="n">
        <v>10191535.6020512</v>
      </c>
      <c r="K87" s="11" t="n">
        <v>1.54578616909251</v>
      </c>
      <c r="L87" s="11" t="n">
        <v>0.628340762907019</v>
      </c>
      <c r="M87" s="11" t="n">
        <v>0.64099691286386</v>
      </c>
      <c r="N87" s="11" t="n">
        <v>0.565129896253037</v>
      </c>
      <c r="O87" s="12" t="n">
        <v>0.0249704354069437</v>
      </c>
      <c r="P87" s="12" t="n">
        <v>0.112180612798359</v>
      </c>
      <c r="Q87" s="4" t="n">
        <f aca="false">RANK(N87,$N$7:$N$307,0)</f>
        <v>81</v>
      </c>
      <c r="R87" s="4" t="n">
        <f aca="false">RANK(O87,$O$7:$O$307,1)</f>
        <v>67</v>
      </c>
      <c r="S87" s="4" t="n">
        <f aca="false">RANK(J87,$J$7:$J$307,0)</f>
        <v>79</v>
      </c>
      <c r="T87" s="4" t="str">
        <f aca="false">IF(O87&lt;0.05,"YES","no")</f>
        <v>YES</v>
      </c>
      <c r="U87" s="4" t="str">
        <f aca="false">IF(P87&lt;0.05,"YES","no")</f>
        <v>no</v>
      </c>
      <c r="V87" s="4" t="str">
        <f aca="false">IF(N87&gt;1,"YES","no")</f>
        <v>no</v>
      </c>
    </row>
    <row r="88" customFormat="false" ht="15" hidden="false" customHeight="false" outlineLevel="0" collapsed="false">
      <c r="A88" s="4" t="s">
        <v>161</v>
      </c>
      <c r="B88" s="4"/>
      <c r="C88" s="4" t="s">
        <v>72</v>
      </c>
      <c r="D88" s="8" t="n">
        <v>129.05567</v>
      </c>
      <c r="E88" s="9" t="n">
        <v>4.632</v>
      </c>
      <c r="F88" s="10" t="n">
        <v>3546302.66630318</v>
      </c>
      <c r="G88" s="10" t="n">
        <v>1024422.31488771</v>
      </c>
      <c r="H88" s="10" t="n">
        <v>6963212.04400602</v>
      </c>
      <c r="I88" s="10" t="n">
        <v>2574872.74224623</v>
      </c>
      <c r="J88" s="10" t="n">
        <v>5254757.3551546</v>
      </c>
      <c r="K88" s="11" t="n">
        <v>1.96351318520276</v>
      </c>
      <c r="L88" s="11" t="n">
        <v>0.973437285889602</v>
      </c>
      <c r="M88" s="11" t="n">
        <v>0.69068246689206</v>
      </c>
      <c r="N88" s="11" t="n">
        <v>0.561721288602571</v>
      </c>
      <c r="O88" s="12" t="n">
        <v>0.0210229715937337</v>
      </c>
      <c r="P88" s="12" t="n">
        <v>0.0996972597638464</v>
      </c>
      <c r="Q88" s="4" t="n">
        <f aca="false">RANK(N88,$N$7:$N$307,0)</f>
        <v>82</v>
      </c>
      <c r="R88" s="4" t="n">
        <f aca="false">RANK(O88,$O$7:$O$307,1)</f>
        <v>63</v>
      </c>
      <c r="S88" s="4" t="n">
        <f aca="false">RANK(J88,$J$7:$J$307,0)</f>
        <v>98</v>
      </c>
      <c r="T88" s="4" t="str">
        <f aca="false">IF(O88&lt;0.05,"YES","no")</f>
        <v>YES</v>
      </c>
      <c r="U88" s="4" t="str">
        <f aca="false">IF(P88&lt;0.05,"YES","no")</f>
        <v>no</v>
      </c>
      <c r="V88" s="4" t="str">
        <f aca="false">IF(N88&gt;1,"YES","no")</f>
        <v>no</v>
      </c>
    </row>
    <row r="89" customFormat="false" ht="15" hidden="false" customHeight="false" outlineLevel="0" collapsed="false">
      <c r="A89" s="4" t="s">
        <v>162</v>
      </c>
      <c r="B89" s="4"/>
      <c r="C89" s="4" t="s">
        <v>72</v>
      </c>
      <c r="D89" s="8" t="n">
        <v>227.20158</v>
      </c>
      <c r="E89" s="9" t="n">
        <v>3.747</v>
      </c>
      <c r="F89" s="10" t="n">
        <v>33856507.4703051</v>
      </c>
      <c r="G89" s="10" t="n">
        <v>18916414.8387836</v>
      </c>
      <c r="H89" s="10" t="n">
        <v>40412255.757208</v>
      </c>
      <c r="I89" s="10" t="n">
        <v>20692352.0425774</v>
      </c>
      <c r="J89" s="10" t="n">
        <v>37134381.6137565</v>
      </c>
      <c r="K89" s="11" t="n">
        <v>1.19363333009623</v>
      </c>
      <c r="L89" s="11" t="n">
        <v>0.255359725971525</v>
      </c>
      <c r="M89" s="11" t="n">
        <v>0.178227949286279</v>
      </c>
      <c r="N89" s="11" t="n">
        <v>0.548285716512111</v>
      </c>
      <c r="O89" s="12" t="n">
        <v>0.579545044548336</v>
      </c>
      <c r="P89" s="12" t="n">
        <v>0.697772233636196</v>
      </c>
      <c r="Q89" s="4" t="n">
        <f aca="false">RANK(N89,$N$7:$N$307,0)</f>
        <v>83</v>
      </c>
      <c r="R89" s="4" t="n">
        <f aca="false">RANK(O89,$O$7:$O$307,1)</f>
        <v>250</v>
      </c>
      <c r="S89" s="4" t="n">
        <f aca="false">RANK(J89,$J$7:$J$307,0)</f>
        <v>40</v>
      </c>
      <c r="T89" s="4" t="str">
        <f aca="false">IF(O89&lt;0.05,"YES","no")</f>
        <v>no</v>
      </c>
      <c r="U89" s="4" t="str">
        <f aca="false">IF(P89&lt;0.05,"YES","no")</f>
        <v>no</v>
      </c>
      <c r="V89" s="4" t="str">
        <f aca="false">IF(N89&gt;1,"YES","no")</f>
        <v>no</v>
      </c>
    </row>
    <row r="90" customFormat="false" ht="15" hidden="false" customHeight="false" outlineLevel="0" collapsed="false">
      <c r="A90" s="4" t="s">
        <v>163</v>
      </c>
      <c r="B90" s="4" t="s">
        <v>164</v>
      </c>
      <c r="C90" s="4" t="s">
        <v>72</v>
      </c>
      <c r="D90" s="8" t="n">
        <v>87.00868</v>
      </c>
      <c r="E90" s="9" t="n">
        <v>6.813</v>
      </c>
      <c r="F90" s="10" t="n">
        <v>9016562.07815076</v>
      </c>
      <c r="G90" s="10" t="n">
        <v>7649306.84182407</v>
      </c>
      <c r="H90" s="10" t="n">
        <v>11478079.4109161</v>
      </c>
      <c r="I90" s="10" t="n">
        <v>5036255.00204213</v>
      </c>
      <c r="J90" s="10" t="n">
        <v>10247320.7445334</v>
      </c>
      <c r="K90" s="11" t="n">
        <v>1.27299954366534</v>
      </c>
      <c r="L90" s="11" t="n">
        <v>0.34823190207362</v>
      </c>
      <c r="M90" s="11" t="n">
        <v>0.203819955969118</v>
      </c>
      <c r="N90" s="11" t="n">
        <v>0.545197220645859</v>
      </c>
      <c r="O90" s="12" t="n">
        <v>0.52744315209125</v>
      </c>
      <c r="P90" s="12" t="n">
        <v>0.670559155578026</v>
      </c>
      <c r="Q90" s="4" t="n">
        <f aca="false">RANK(N90,$N$7:$N$307,0)</f>
        <v>84</v>
      </c>
      <c r="R90" s="4" t="n">
        <f aca="false">RANK(O90,$O$7:$O$307,1)</f>
        <v>236</v>
      </c>
      <c r="S90" s="4" t="n">
        <f aca="false">RANK(J90,$J$7:$J$307,0)</f>
        <v>78</v>
      </c>
      <c r="T90" s="4" t="str">
        <f aca="false">IF(O90&lt;0.05,"YES","no")</f>
        <v>no</v>
      </c>
      <c r="U90" s="4" t="str">
        <f aca="false">IF(P90&lt;0.05,"YES","no")</f>
        <v>no</v>
      </c>
      <c r="V90" s="4" t="str">
        <f aca="false">IF(N90&gt;1,"YES","no")</f>
        <v>no</v>
      </c>
    </row>
    <row r="91" customFormat="false" ht="15" hidden="false" customHeight="false" outlineLevel="0" collapsed="false">
      <c r="A91" s="4" t="s">
        <v>165</v>
      </c>
      <c r="B91" s="4"/>
      <c r="C91" s="4" t="s">
        <v>61</v>
      </c>
      <c r="D91" s="8" t="n">
        <v>664.11651</v>
      </c>
      <c r="E91" s="9" t="n">
        <v>9.531</v>
      </c>
      <c r="F91" s="10" t="n">
        <v>1680979.43365695</v>
      </c>
      <c r="G91" s="10" t="n">
        <v>1328088.5800522</v>
      </c>
      <c r="H91" s="10" t="n">
        <v>504283.478412247</v>
      </c>
      <c r="I91" s="10" t="n">
        <v>180555.593384019</v>
      </c>
      <c r="J91" s="10" t="n">
        <v>1092631.4560346</v>
      </c>
      <c r="K91" s="11" t="n">
        <v>0.299993841872999</v>
      </c>
      <c r="L91" s="11" t="n">
        <v>-1.73699520880111</v>
      </c>
      <c r="M91" s="11" t="n">
        <v>0.562333998039359</v>
      </c>
      <c r="N91" s="11" t="n">
        <v>0.543884061948574</v>
      </c>
      <c r="O91" s="12" t="n">
        <v>0.0822368511419652</v>
      </c>
      <c r="P91" s="12" t="n">
        <v>0.206277434947763</v>
      </c>
      <c r="Q91" s="4" t="n">
        <f aca="false">RANK(N91,$N$7:$N$307,0)</f>
        <v>85</v>
      </c>
      <c r="R91" s="4" t="n">
        <f aca="false">RANK(O91,$O$7:$O$307,1)</f>
        <v>120</v>
      </c>
      <c r="S91" s="4" t="n">
        <f aca="false">RANK(J91,$J$7:$J$307,0)</f>
        <v>168</v>
      </c>
      <c r="T91" s="4" t="str">
        <f aca="false">IF(O91&lt;0.05,"YES","no")</f>
        <v>no</v>
      </c>
      <c r="U91" s="4" t="str">
        <f aca="false">IF(P91&lt;0.05,"YES","no")</f>
        <v>no</v>
      </c>
      <c r="V91" s="4" t="str">
        <f aca="false">IF(N91&gt;1,"YES","no")</f>
        <v>no</v>
      </c>
    </row>
    <row r="92" customFormat="false" ht="15" hidden="false" customHeight="false" outlineLevel="0" collapsed="false">
      <c r="A92" s="4" t="s">
        <v>166</v>
      </c>
      <c r="B92" s="4"/>
      <c r="C92" s="4" t="s">
        <v>72</v>
      </c>
      <c r="D92" s="8" t="n">
        <v>149.06073</v>
      </c>
      <c r="E92" s="9" t="n">
        <v>4.849</v>
      </c>
      <c r="F92" s="10" t="n">
        <v>12230188.4115787</v>
      </c>
      <c r="G92" s="10" t="n">
        <v>4522505.33393511</v>
      </c>
      <c r="H92" s="10" t="n">
        <v>17224824.0093257</v>
      </c>
      <c r="I92" s="10" t="n">
        <v>5595108.07439523</v>
      </c>
      <c r="J92" s="10" t="n">
        <v>14727506.2104522</v>
      </c>
      <c r="K92" s="11" t="n">
        <v>1.40838582609394</v>
      </c>
      <c r="L92" s="11" t="n">
        <v>0.494042613194909</v>
      </c>
      <c r="M92" s="11" t="n">
        <v>0.473621597358055</v>
      </c>
      <c r="N92" s="11" t="n">
        <v>0.542603486875065</v>
      </c>
      <c r="O92" s="12" t="n">
        <v>0.121201442979098</v>
      </c>
      <c r="P92" s="12" t="n">
        <v>0.264359669106582</v>
      </c>
      <c r="Q92" s="4" t="n">
        <f aca="false">RANK(N92,$N$7:$N$307,0)</f>
        <v>86</v>
      </c>
      <c r="R92" s="4" t="n">
        <f aca="false">RANK(O92,$O$7:$O$307,1)</f>
        <v>138</v>
      </c>
      <c r="S92" s="4" t="n">
        <f aca="false">RANK(J92,$J$7:$J$307,0)</f>
        <v>64</v>
      </c>
      <c r="T92" s="4" t="str">
        <f aca="false">IF(O92&lt;0.05,"YES","no")</f>
        <v>no</v>
      </c>
      <c r="U92" s="4" t="str">
        <f aca="false">IF(P92&lt;0.05,"YES","no")</f>
        <v>no</v>
      </c>
      <c r="V92" s="4" t="str">
        <f aca="false">IF(N92&gt;1,"YES","no")</f>
        <v>no</v>
      </c>
    </row>
    <row r="93" customFormat="false" ht="15" hidden="false" customHeight="false" outlineLevel="0" collapsed="false">
      <c r="A93" s="4" t="s">
        <v>167</v>
      </c>
      <c r="B93" s="4"/>
      <c r="C93" s="4" t="s">
        <v>72</v>
      </c>
      <c r="D93" s="8" t="n">
        <v>260.18566</v>
      </c>
      <c r="E93" s="9" t="n">
        <v>7.525</v>
      </c>
      <c r="F93" s="10" t="n">
        <v>4145059.26414705</v>
      </c>
      <c r="G93" s="10" t="n">
        <v>1655482.17475555</v>
      </c>
      <c r="H93" s="10" t="n">
        <v>2390378.98761257</v>
      </c>
      <c r="I93" s="10" t="n">
        <v>701300.311080739</v>
      </c>
      <c r="J93" s="10" t="n">
        <v>3267719.12587981</v>
      </c>
      <c r="K93" s="11" t="n">
        <v>0.576681498450048</v>
      </c>
      <c r="L93" s="11" t="n">
        <v>-0.794153357428238</v>
      </c>
      <c r="M93" s="11" t="n">
        <v>0.603046707282652</v>
      </c>
      <c r="N93" s="11" t="n">
        <v>0.531191190630893</v>
      </c>
      <c r="O93" s="12" t="n">
        <v>0.0494787820487291</v>
      </c>
      <c r="P93" s="12" t="n">
        <v>0.163378656560596</v>
      </c>
      <c r="Q93" s="4" t="n">
        <f aca="false">RANK(N93,$N$7:$N$307,0)</f>
        <v>87</v>
      </c>
      <c r="R93" s="4" t="n">
        <f aca="false">RANK(O93,$O$7:$O$307,1)</f>
        <v>91</v>
      </c>
      <c r="S93" s="4" t="n">
        <f aca="false">RANK(J93,$J$7:$J$307,0)</f>
        <v>118</v>
      </c>
      <c r="T93" s="4" t="str">
        <f aca="false">IF(O93&lt;0.05,"YES","no")</f>
        <v>YES</v>
      </c>
      <c r="U93" s="4" t="str">
        <f aca="false">IF(P93&lt;0.05,"YES","no")</f>
        <v>no</v>
      </c>
      <c r="V93" s="4" t="str">
        <f aca="false">IF(N93&gt;1,"YES","no")</f>
        <v>no</v>
      </c>
    </row>
    <row r="94" customFormat="false" ht="15" hidden="false" customHeight="false" outlineLevel="0" collapsed="false">
      <c r="A94" s="4" t="s">
        <v>168</v>
      </c>
      <c r="B94" s="4"/>
      <c r="C94" s="4" t="s">
        <v>61</v>
      </c>
      <c r="D94" s="8" t="n">
        <v>184.9856</v>
      </c>
      <c r="E94" s="9" t="n">
        <v>10.471</v>
      </c>
      <c r="F94" s="10" t="n">
        <v>1685735.48856517</v>
      </c>
      <c r="G94" s="10" t="n">
        <v>2375523.73829546</v>
      </c>
      <c r="H94" s="10" t="n">
        <v>1064003.32874171</v>
      </c>
      <c r="I94" s="10" t="n">
        <v>652669.916732244</v>
      </c>
      <c r="J94" s="10" t="n">
        <v>1374869.40865344</v>
      </c>
      <c r="K94" s="11" t="n">
        <v>0.631180476390956</v>
      </c>
      <c r="L94" s="11" t="n">
        <v>-0.663875514139233</v>
      </c>
      <c r="M94" s="11" t="n">
        <v>0.191855155542838</v>
      </c>
      <c r="N94" s="11" t="n">
        <v>0.52919262725913</v>
      </c>
      <c r="O94" s="12" t="n">
        <v>0.560123002917987</v>
      </c>
      <c r="P94" s="12" t="n">
        <v>0.682579044041758</v>
      </c>
      <c r="Q94" s="4" t="n">
        <f aca="false">RANK(N94,$N$7:$N$307,0)</f>
        <v>88</v>
      </c>
      <c r="R94" s="4" t="n">
        <f aca="false">RANK(O94,$O$7:$O$307,1)</f>
        <v>247</v>
      </c>
      <c r="S94" s="4" t="n">
        <f aca="false">RANK(J94,$J$7:$J$307,0)</f>
        <v>157</v>
      </c>
      <c r="T94" s="4" t="str">
        <f aca="false">IF(O94&lt;0.05,"YES","no")</f>
        <v>no</v>
      </c>
      <c r="U94" s="4" t="str">
        <f aca="false">IF(P94&lt;0.05,"YES","no")</f>
        <v>no</v>
      </c>
      <c r="V94" s="4" t="str">
        <f aca="false">IF(N94&gt;1,"YES","no")</f>
        <v>no</v>
      </c>
    </row>
    <row r="95" customFormat="false" ht="15" hidden="false" customHeight="false" outlineLevel="0" collapsed="false">
      <c r="A95" s="4" t="s">
        <v>169</v>
      </c>
      <c r="B95" s="4"/>
      <c r="C95" s="4" t="s">
        <v>72</v>
      </c>
      <c r="D95" s="8" t="n">
        <v>102.05488</v>
      </c>
      <c r="E95" s="9" t="n">
        <v>10.87</v>
      </c>
      <c r="F95" s="10" t="n">
        <v>3107399.76294993</v>
      </c>
      <c r="G95" s="10" t="n">
        <v>1356054.98709185</v>
      </c>
      <c r="H95" s="10" t="n">
        <v>6055313.05031153</v>
      </c>
      <c r="I95" s="10" t="n">
        <v>1589931.28457766</v>
      </c>
      <c r="J95" s="10" t="n">
        <v>4581356.40663073</v>
      </c>
      <c r="K95" s="11" t="n">
        <v>1.94867526299966</v>
      </c>
      <c r="L95" s="11" t="n">
        <v>0.962493692702465</v>
      </c>
      <c r="M95" s="11" t="n">
        <v>0.737713240216364</v>
      </c>
      <c r="N95" s="11" t="n">
        <v>0.522279851329608</v>
      </c>
      <c r="O95" s="12" t="n">
        <v>0.00639584563639081</v>
      </c>
      <c r="P95" s="12" t="n">
        <v>0.0807692088686714</v>
      </c>
      <c r="Q95" s="4" t="n">
        <f aca="false">RANK(N95,$N$7:$N$307,0)</f>
        <v>89</v>
      </c>
      <c r="R95" s="4" t="n">
        <f aca="false">RANK(O95,$O$7:$O$307,1)</f>
        <v>20</v>
      </c>
      <c r="S95" s="4" t="n">
        <f aca="false">RANK(J95,$J$7:$J$307,0)</f>
        <v>103</v>
      </c>
      <c r="T95" s="4" t="str">
        <f aca="false">IF(O95&lt;0.05,"YES","no")</f>
        <v>YES</v>
      </c>
      <c r="U95" s="4" t="str">
        <f aca="false">IF(P95&lt;0.05,"YES","no")</f>
        <v>no</v>
      </c>
      <c r="V95" s="4" t="str">
        <f aca="false">IF(N95&gt;1,"YES","no")</f>
        <v>no</v>
      </c>
    </row>
    <row r="96" customFormat="false" ht="15" hidden="false" customHeight="false" outlineLevel="0" collapsed="false">
      <c r="A96" s="4" t="s">
        <v>170</v>
      </c>
      <c r="B96" s="4" t="s">
        <v>171</v>
      </c>
      <c r="C96" s="4" t="s">
        <v>61</v>
      </c>
      <c r="D96" s="8" t="n">
        <v>198.09724</v>
      </c>
      <c r="E96" s="9" t="n">
        <v>10.928</v>
      </c>
      <c r="F96" s="10" t="n">
        <v>5072213.81070475</v>
      </c>
      <c r="G96" s="10" t="n">
        <v>1554376.86058553</v>
      </c>
      <c r="H96" s="10" t="n">
        <v>7198749.97567596</v>
      </c>
      <c r="I96" s="10" t="n">
        <v>1654621.69592957</v>
      </c>
      <c r="J96" s="10" t="n">
        <v>6135481.89319036</v>
      </c>
      <c r="K96" s="11" t="n">
        <v>1.41925207499795</v>
      </c>
      <c r="L96" s="11" t="n">
        <v>0.505130850886743</v>
      </c>
      <c r="M96" s="11" t="n">
        <v>0.587272374354383</v>
      </c>
      <c r="N96" s="11" t="n">
        <v>0.521268876414127</v>
      </c>
      <c r="O96" s="12" t="n">
        <v>0.0447688635382037</v>
      </c>
      <c r="P96" s="12" t="n">
        <v>0.154889976149417</v>
      </c>
      <c r="Q96" s="4" t="n">
        <f aca="false">RANK(N96,$N$7:$N$307,0)</f>
        <v>90</v>
      </c>
      <c r="R96" s="4" t="n">
        <f aca="false">RANK(O96,$O$7:$O$307,1)</f>
        <v>87</v>
      </c>
      <c r="S96" s="4" t="n">
        <f aca="false">RANK(J96,$J$7:$J$307,0)</f>
        <v>92</v>
      </c>
      <c r="T96" s="4" t="str">
        <f aca="false">IF(O96&lt;0.05,"YES","no")</f>
        <v>YES</v>
      </c>
      <c r="U96" s="4" t="str">
        <f aca="false">IF(P96&lt;0.05,"YES","no")</f>
        <v>no</v>
      </c>
      <c r="V96" s="4" t="str">
        <f aca="false">IF(N96&gt;1,"YES","no")</f>
        <v>no</v>
      </c>
    </row>
    <row r="97" customFormat="false" ht="15" hidden="false" customHeight="false" outlineLevel="0" collapsed="false">
      <c r="A97" s="4" t="s">
        <v>172</v>
      </c>
      <c r="B97" s="4"/>
      <c r="C97" s="4" t="s">
        <v>61</v>
      </c>
      <c r="D97" s="8" t="n">
        <v>146.09241</v>
      </c>
      <c r="E97" s="9" t="n">
        <v>11.851</v>
      </c>
      <c r="F97" s="10" t="n">
        <v>18963608.9272575</v>
      </c>
      <c r="G97" s="10" t="n">
        <v>2823680.30384711</v>
      </c>
      <c r="H97" s="10" t="n">
        <v>24140053.1443531</v>
      </c>
      <c r="I97" s="10" t="n">
        <v>8733225.59120366</v>
      </c>
      <c r="J97" s="10" t="n">
        <v>21551831.0358053</v>
      </c>
      <c r="K97" s="11" t="n">
        <v>1.27296725201157</v>
      </c>
      <c r="L97" s="11" t="n">
        <v>0.348195305360081</v>
      </c>
      <c r="M97" s="11" t="n">
        <v>0.400326145225618</v>
      </c>
      <c r="N97" s="11" t="n">
        <v>0.516767755850393</v>
      </c>
      <c r="O97" s="12" t="n">
        <v>0.216109991643757</v>
      </c>
      <c r="P97" s="12" t="n">
        <v>0.380410369865494</v>
      </c>
      <c r="Q97" s="4" t="n">
        <f aca="false">RANK(N97,$N$7:$N$307,0)</f>
        <v>91</v>
      </c>
      <c r="R97" s="4" t="n">
        <f aca="false">RANK(O97,$O$7:$O$307,1)</f>
        <v>170</v>
      </c>
      <c r="S97" s="4" t="n">
        <f aca="false">RANK(J97,$J$7:$J$307,0)</f>
        <v>52</v>
      </c>
      <c r="T97" s="4" t="str">
        <f aca="false">IF(O97&lt;0.05,"YES","no")</f>
        <v>no</v>
      </c>
      <c r="U97" s="4" t="str">
        <f aca="false">IF(P97&lt;0.05,"YES","no")</f>
        <v>no</v>
      </c>
      <c r="V97" s="4" t="str">
        <f aca="false">IF(N97&gt;1,"YES","no")</f>
        <v>no</v>
      </c>
    </row>
    <row r="98" customFormat="false" ht="15" hidden="false" customHeight="false" outlineLevel="0" collapsed="false">
      <c r="A98" s="4" t="s">
        <v>173</v>
      </c>
      <c r="B98" s="4" t="s">
        <v>174</v>
      </c>
      <c r="C98" s="4" t="s">
        <v>61</v>
      </c>
      <c r="D98" s="8" t="n">
        <v>505.98835</v>
      </c>
      <c r="E98" s="9" t="n">
        <v>10.116</v>
      </c>
      <c r="F98" s="10" t="n">
        <v>1514878.61546912</v>
      </c>
      <c r="G98" s="10" t="n">
        <v>1707412.31567716</v>
      </c>
      <c r="H98" s="10" t="n">
        <v>648784.159586416</v>
      </c>
      <c r="I98" s="10" t="n">
        <v>517769.665100121</v>
      </c>
      <c r="J98" s="10" t="n">
        <v>1081831.38752777</v>
      </c>
      <c r="K98" s="11" t="n">
        <v>0.428274683503603</v>
      </c>
      <c r="L98" s="11" t="n">
        <v>-1.22339169681624</v>
      </c>
      <c r="M98" s="11" t="n">
        <v>0.351952002695966</v>
      </c>
      <c r="N98" s="11" t="n">
        <v>0.512994830310815</v>
      </c>
      <c r="O98" s="12" t="n">
        <v>0.279977303157062</v>
      </c>
      <c r="P98" s="12" t="n">
        <v>0.443542990790924</v>
      </c>
      <c r="Q98" s="4" t="n">
        <f aca="false">RANK(N98,$N$7:$N$307,0)</f>
        <v>92</v>
      </c>
      <c r="R98" s="4" t="n">
        <f aca="false">RANK(O98,$O$7:$O$307,1)</f>
        <v>190</v>
      </c>
      <c r="S98" s="4" t="n">
        <f aca="false">RANK(J98,$J$7:$J$307,0)</f>
        <v>170</v>
      </c>
      <c r="T98" s="4" t="str">
        <f aca="false">IF(O98&lt;0.05,"YES","no")</f>
        <v>no</v>
      </c>
      <c r="U98" s="4" t="str">
        <f aca="false">IF(P98&lt;0.05,"YES","no")</f>
        <v>no</v>
      </c>
      <c r="V98" s="4" t="str">
        <f aca="false">IF(N98&gt;1,"YES","no")</f>
        <v>no</v>
      </c>
    </row>
    <row r="99" customFormat="false" ht="15" hidden="false" customHeight="false" outlineLevel="0" collapsed="false">
      <c r="A99" s="4" t="s">
        <v>175</v>
      </c>
      <c r="B99" s="4"/>
      <c r="C99" s="4" t="s">
        <v>61</v>
      </c>
      <c r="D99" s="8" t="n">
        <v>168.06543</v>
      </c>
      <c r="E99" s="9" t="n">
        <v>7.711</v>
      </c>
      <c r="F99" s="10" t="n">
        <v>990289.946174312</v>
      </c>
      <c r="G99" s="10" t="n">
        <v>231698.98833515</v>
      </c>
      <c r="H99" s="10" t="n">
        <v>3401073.35494868</v>
      </c>
      <c r="I99" s="10" t="n">
        <v>1490144.95784343</v>
      </c>
      <c r="J99" s="10" t="n">
        <v>2195681.6505615</v>
      </c>
      <c r="K99" s="11" t="n">
        <v>3.43442177524644</v>
      </c>
      <c r="L99" s="11" t="n">
        <v>1.7800672250392</v>
      </c>
      <c r="M99" s="11" t="n">
        <v>0.777986347516996</v>
      </c>
      <c r="N99" s="11" t="n">
        <v>0.504351319010201</v>
      </c>
      <c r="O99" s="12" t="n">
        <v>0.0102355434546967</v>
      </c>
      <c r="P99" s="12" t="n">
        <v>0.0807692088686714</v>
      </c>
      <c r="Q99" s="4" t="n">
        <f aca="false">RANK(N99,$N$7:$N$307,0)</f>
        <v>93</v>
      </c>
      <c r="R99" s="4" t="n">
        <f aca="false">RANK(O99,$O$7:$O$307,1)</f>
        <v>33</v>
      </c>
      <c r="S99" s="4" t="n">
        <f aca="false">RANK(J99,$J$7:$J$307,0)</f>
        <v>137</v>
      </c>
      <c r="T99" s="4" t="str">
        <f aca="false">IF(O99&lt;0.05,"YES","no")</f>
        <v>YES</v>
      </c>
      <c r="U99" s="4" t="str">
        <f aca="false">IF(P99&lt;0.05,"YES","no")</f>
        <v>no</v>
      </c>
      <c r="V99" s="4" t="str">
        <f aca="false">IF(N99&gt;1,"YES","no")</f>
        <v>no</v>
      </c>
    </row>
    <row r="100" customFormat="false" ht="15" hidden="false" customHeight="false" outlineLevel="0" collapsed="false">
      <c r="A100" s="4" t="s">
        <v>176</v>
      </c>
      <c r="B100" s="4"/>
      <c r="C100" s="4" t="s">
        <v>72</v>
      </c>
      <c r="D100" s="8" t="n">
        <v>126.10251</v>
      </c>
      <c r="E100" s="9" t="n">
        <v>12.961</v>
      </c>
      <c r="F100" s="10" t="n">
        <v>8765422.69298781</v>
      </c>
      <c r="G100" s="10" t="n">
        <v>2198728.97139375</v>
      </c>
      <c r="H100" s="10" t="n">
        <v>11303311.0465666</v>
      </c>
      <c r="I100" s="10" t="n">
        <v>6222988.91798094</v>
      </c>
      <c r="J100" s="10" t="n">
        <v>10034366.8697772</v>
      </c>
      <c r="K100" s="11" t="n">
        <v>1.28953405243185</v>
      </c>
      <c r="L100" s="11" t="n">
        <v>0.366849870549307</v>
      </c>
      <c r="M100" s="11" t="n">
        <v>0.285460903506556</v>
      </c>
      <c r="N100" s="11" t="n">
        <v>0.499939762655978</v>
      </c>
      <c r="O100" s="12" t="n">
        <v>0.381323218180367</v>
      </c>
      <c r="P100" s="12" t="n">
        <v>0.53634714332846</v>
      </c>
      <c r="Q100" s="4" t="n">
        <f aca="false">RANK(N100,$N$7:$N$307,0)</f>
        <v>94</v>
      </c>
      <c r="R100" s="4" t="n">
        <f aca="false">RANK(O100,$O$7:$O$307,1)</f>
        <v>214</v>
      </c>
      <c r="S100" s="4" t="n">
        <f aca="false">RANK(J100,$J$7:$J$307,0)</f>
        <v>81</v>
      </c>
      <c r="T100" s="4" t="str">
        <f aca="false">IF(O100&lt;0.05,"YES","no")</f>
        <v>no</v>
      </c>
      <c r="U100" s="4" t="str">
        <f aca="false">IF(P100&lt;0.05,"YES","no")</f>
        <v>no</v>
      </c>
      <c r="V100" s="4" t="str">
        <f aca="false">IF(N100&gt;1,"YES","no")</f>
        <v>no</v>
      </c>
    </row>
    <row r="101" customFormat="false" ht="15" hidden="false" customHeight="false" outlineLevel="0" collapsed="false">
      <c r="A101" s="4" t="s">
        <v>177</v>
      </c>
      <c r="B101" s="4"/>
      <c r="C101" s="4" t="s">
        <v>61</v>
      </c>
      <c r="D101" s="8" t="n">
        <v>135.08032</v>
      </c>
      <c r="E101" s="9" t="n">
        <v>4.066</v>
      </c>
      <c r="F101" s="10" t="n">
        <v>26805291.2141867</v>
      </c>
      <c r="G101" s="10" t="n">
        <v>6158510.00675551</v>
      </c>
      <c r="H101" s="10" t="n">
        <v>29817592.8262179</v>
      </c>
      <c r="I101" s="10" t="n">
        <v>5472569.93667307</v>
      </c>
      <c r="J101" s="10" t="n">
        <v>28311442.0202023</v>
      </c>
      <c r="K101" s="11" t="n">
        <v>1.11237712688743</v>
      </c>
      <c r="L101" s="11" t="n">
        <v>0.153645984869746</v>
      </c>
      <c r="M101" s="11" t="n">
        <v>0.272496510059276</v>
      </c>
      <c r="N101" s="11" t="n">
        <v>0.497912851872301</v>
      </c>
      <c r="O101" s="12" t="n">
        <v>0.39179725814289</v>
      </c>
      <c r="P101" s="12" t="n">
        <v>0.545976734726898</v>
      </c>
      <c r="Q101" s="4" t="n">
        <f aca="false">RANK(N101,$N$7:$N$307,0)</f>
        <v>95</v>
      </c>
      <c r="R101" s="4" t="n">
        <f aca="false">RANK(O101,$O$7:$O$307,1)</f>
        <v>216</v>
      </c>
      <c r="S101" s="4" t="n">
        <f aca="false">RANK(J101,$J$7:$J$307,0)</f>
        <v>43</v>
      </c>
      <c r="T101" s="4" t="str">
        <f aca="false">IF(O101&lt;0.05,"YES","no")</f>
        <v>no</v>
      </c>
      <c r="U101" s="4" t="str">
        <f aca="false">IF(P101&lt;0.05,"YES","no")</f>
        <v>no</v>
      </c>
      <c r="V101" s="4" t="str">
        <f aca="false">IF(N101&gt;1,"YES","no")</f>
        <v>no</v>
      </c>
    </row>
    <row r="102" customFormat="false" ht="15" hidden="false" customHeight="false" outlineLevel="0" collapsed="false">
      <c r="A102" s="4" t="s">
        <v>178</v>
      </c>
      <c r="B102" s="4"/>
      <c r="C102" s="4" t="s">
        <v>72</v>
      </c>
      <c r="D102" s="8" t="n">
        <v>229.15467</v>
      </c>
      <c r="E102" s="9" t="n">
        <v>9.96</v>
      </c>
      <c r="F102" s="10" t="n">
        <v>2216979.385097</v>
      </c>
      <c r="G102" s="10" t="n">
        <v>3345708.10060884</v>
      </c>
      <c r="H102" s="10" t="n">
        <v>1722413.56766617</v>
      </c>
      <c r="I102" s="10" t="n">
        <v>485194.798065149</v>
      </c>
      <c r="J102" s="10" t="n">
        <v>1969696.47638158</v>
      </c>
      <c r="K102" s="11" t="n">
        <v>0.776919072520292</v>
      </c>
      <c r="L102" s="11" t="n">
        <v>-0.36416376620835</v>
      </c>
      <c r="M102" s="11" t="n">
        <v>0.112595673333851</v>
      </c>
      <c r="N102" s="11" t="n">
        <v>0.496255745632777</v>
      </c>
      <c r="O102" s="12" t="n">
        <v>0.734154411425498</v>
      </c>
      <c r="P102" s="12" t="n">
        <v>0.830753676086748</v>
      </c>
      <c r="Q102" s="4" t="n">
        <f aca="false">RANK(N102,$N$7:$N$307,0)</f>
        <v>96</v>
      </c>
      <c r="R102" s="4" t="n">
        <f aca="false">RANK(O102,$O$7:$O$307,1)</f>
        <v>266</v>
      </c>
      <c r="S102" s="4" t="n">
        <f aca="false">RANK(J102,$J$7:$J$307,0)</f>
        <v>141</v>
      </c>
      <c r="T102" s="4" t="str">
        <f aca="false">IF(O102&lt;0.05,"YES","no")</f>
        <v>no</v>
      </c>
      <c r="U102" s="4" t="str">
        <f aca="false">IF(P102&lt;0.05,"YES","no")</f>
        <v>no</v>
      </c>
      <c r="V102" s="4" t="str">
        <f aca="false">IF(N102&gt;1,"YES","no")</f>
        <v>no</v>
      </c>
    </row>
    <row r="103" customFormat="false" ht="15" hidden="false" customHeight="false" outlineLevel="0" collapsed="false">
      <c r="A103" s="4" t="s">
        <v>179</v>
      </c>
      <c r="B103" s="4"/>
      <c r="C103" s="4" t="s">
        <v>61</v>
      </c>
      <c r="D103" s="8" t="n">
        <v>362.05046</v>
      </c>
      <c r="E103" s="9" t="n">
        <v>10.29</v>
      </c>
      <c r="F103" s="10" t="n">
        <v>12290099.6402663</v>
      </c>
      <c r="G103" s="10" t="n">
        <v>2796803.57006718</v>
      </c>
      <c r="H103" s="10" t="n">
        <v>16172497.7764258</v>
      </c>
      <c r="I103" s="10" t="n">
        <v>4701979.46677287</v>
      </c>
      <c r="J103" s="10" t="n">
        <v>14231298.7083461</v>
      </c>
      <c r="K103" s="11" t="n">
        <v>1.3158963922017</v>
      </c>
      <c r="L103" s="11" t="n">
        <v>0.396045902187805</v>
      </c>
      <c r="M103" s="11" t="n">
        <v>0.481709542991626</v>
      </c>
      <c r="N103" s="11" t="n">
        <v>0.490900986502426</v>
      </c>
      <c r="O103" s="12" t="n">
        <v>0.119692352087766</v>
      </c>
      <c r="P103" s="12" t="n">
        <v>0.26297370787166</v>
      </c>
      <c r="Q103" s="4" t="n">
        <f aca="false">RANK(N103,$N$7:$N$307,0)</f>
        <v>97</v>
      </c>
      <c r="R103" s="4" t="n">
        <f aca="false">RANK(O103,$O$7:$O$307,1)</f>
        <v>137</v>
      </c>
      <c r="S103" s="4" t="n">
        <f aca="false">RANK(J103,$J$7:$J$307,0)</f>
        <v>66</v>
      </c>
      <c r="T103" s="4" t="str">
        <f aca="false">IF(O103&lt;0.05,"YES","no")</f>
        <v>no</v>
      </c>
      <c r="U103" s="4" t="str">
        <f aca="false">IF(P103&lt;0.05,"YES","no")</f>
        <v>no</v>
      </c>
      <c r="V103" s="4" t="str">
        <f aca="false">IF(N103&gt;1,"YES","no")</f>
        <v>no</v>
      </c>
    </row>
    <row r="104" customFormat="false" ht="15" hidden="false" customHeight="false" outlineLevel="0" collapsed="false">
      <c r="A104" s="4" t="s">
        <v>180</v>
      </c>
      <c r="B104" s="4"/>
      <c r="C104" s="4" t="s">
        <v>72</v>
      </c>
      <c r="D104" s="8" t="n">
        <v>130.04983</v>
      </c>
      <c r="E104" s="9" t="n">
        <v>8.854</v>
      </c>
      <c r="F104" s="10" t="n">
        <v>2974102.03354171</v>
      </c>
      <c r="G104" s="10" t="n">
        <v>1448952.27760397</v>
      </c>
      <c r="H104" s="10" t="n">
        <v>6047826.50327542</v>
      </c>
      <c r="I104" s="10" t="n">
        <v>2153318.46686876</v>
      </c>
      <c r="J104" s="10" t="n">
        <v>4510964.26840856</v>
      </c>
      <c r="K104" s="11" t="n">
        <v>2.03349664371581</v>
      </c>
      <c r="L104" s="11" t="n">
        <v>1.02396260963528</v>
      </c>
      <c r="M104" s="11" t="n">
        <v>0.675995350666376</v>
      </c>
      <c r="N104" s="11" t="n">
        <v>0.48646563443161</v>
      </c>
      <c r="O104" s="12" t="n">
        <v>0.0180693440494916</v>
      </c>
      <c r="P104" s="12" t="n">
        <v>0.0976234075373918</v>
      </c>
      <c r="Q104" s="4" t="n">
        <f aca="false">RANK(N104,$N$7:$N$307,0)</f>
        <v>98</v>
      </c>
      <c r="R104" s="4" t="n">
        <f aca="false">RANK(O104,$O$7:$O$307,1)</f>
        <v>55</v>
      </c>
      <c r="S104" s="4" t="n">
        <f aca="false">RANK(J104,$J$7:$J$307,0)</f>
        <v>104</v>
      </c>
      <c r="T104" s="4" t="str">
        <f aca="false">IF(O104&lt;0.05,"YES","no")</f>
        <v>YES</v>
      </c>
      <c r="U104" s="4" t="str">
        <f aca="false">IF(P104&lt;0.05,"YES","no")</f>
        <v>no</v>
      </c>
      <c r="V104" s="4" t="str">
        <f aca="false">IF(N104&gt;1,"YES","no")</f>
        <v>no</v>
      </c>
    </row>
    <row r="105" customFormat="false" ht="15" hidden="false" customHeight="false" outlineLevel="0" collapsed="false">
      <c r="A105" s="4" t="s">
        <v>181</v>
      </c>
      <c r="B105" s="4"/>
      <c r="C105" s="4" t="s">
        <v>72</v>
      </c>
      <c r="D105" s="8" t="n">
        <v>103.03887</v>
      </c>
      <c r="E105" s="9" t="n">
        <v>11.251</v>
      </c>
      <c r="F105" s="10" t="n">
        <v>8113421.83346856</v>
      </c>
      <c r="G105" s="10" t="n">
        <v>1052373.84154096</v>
      </c>
      <c r="H105" s="10" t="n">
        <v>11170262.9418839</v>
      </c>
      <c r="I105" s="10" t="n">
        <v>2917886.72287731</v>
      </c>
      <c r="J105" s="10" t="n">
        <v>9641842.38767625</v>
      </c>
      <c r="K105" s="11" t="n">
        <v>1.37676348785486</v>
      </c>
      <c r="L105" s="11" t="n">
        <v>0.461280742330082</v>
      </c>
      <c r="M105" s="11" t="n">
        <v>0.60677173593096</v>
      </c>
      <c r="N105" s="11" t="n">
        <v>0.480517158676547</v>
      </c>
      <c r="O105" s="12" t="n">
        <v>0.0504791198011144</v>
      </c>
      <c r="P105" s="12" t="n">
        <v>0.163378656560596</v>
      </c>
      <c r="Q105" s="4" t="n">
        <f aca="false">RANK(N105,$N$7:$N$307,0)</f>
        <v>99</v>
      </c>
      <c r="R105" s="4" t="n">
        <f aca="false">RANK(O105,$O$7:$O$307,1)</f>
        <v>93</v>
      </c>
      <c r="S105" s="4" t="n">
        <f aca="false">RANK(J105,$J$7:$J$307,0)</f>
        <v>84</v>
      </c>
      <c r="T105" s="4" t="str">
        <f aca="false">IF(O105&lt;0.05,"YES","no")</f>
        <v>no</v>
      </c>
      <c r="U105" s="4" t="str">
        <f aca="false">IF(P105&lt;0.05,"YES","no")</f>
        <v>no</v>
      </c>
      <c r="V105" s="4" t="str">
        <f aca="false">IF(N105&gt;1,"YES","no")</f>
        <v>no</v>
      </c>
    </row>
    <row r="106" customFormat="false" ht="15" hidden="false" customHeight="false" outlineLevel="0" collapsed="false">
      <c r="A106" s="4" t="s">
        <v>182</v>
      </c>
      <c r="B106" s="4"/>
      <c r="C106" s="4" t="s">
        <v>61</v>
      </c>
      <c r="D106" s="8" t="n">
        <v>103.03999</v>
      </c>
      <c r="E106" s="9" t="n">
        <v>7.484</v>
      </c>
      <c r="F106" s="10" t="n">
        <v>4179473.77260858</v>
      </c>
      <c r="G106" s="10" t="n">
        <v>4185012.25442397</v>
      </c>
      <c r="H106" s="10" t="n">
        <v>4641462.06157338</v>
      </c>
      <c r="I106" s="10" t="n">
        <v>1076320.68892683</v>
      </c>
      <c r="J106" s="10" t="n">
        <v>4410467.91709098</v>
      </c>
      <c r="K106" s="11" t="n">
        <v>1.11053742985363</v>
      </c>
      <c r="L106" s="11" t="n">
        <v>0.151258018687856</v>
      </c>
      <c r="M106" s="11" t="n">
        <v>0.0825311329345271</v>
      </c>
      <c r="N106" s="11" t="n">
        <v>0.470125412844846</v>
      </c>
      <c r="O106" s="12" t="n">
        <v>0.802684251684409</v>
      </c>
      <c r="P106" s="12" t="n">
        <v>0.872230901649846</v>
      </c>
      <c r="Q106" s="4" t="n">
        <f aca="false">RANK(N106,$N$7:$N$307,0)</f>
        <v>100</v>
      </c>
      <c r="R106" s="4" t="n">
        <f aca="false">RANK(O106,$O$7:$O$307,1)</f>
        <v>277</v>
      </c>
      <c r="S106" s="4" t="n">
        <f aca="false">RANK(J106,$J$7:$J$307,0)</f>
        <v>106</v>
      </c>
      <c r="T106" s="4" t="str">
        <f aca="false">IF(O106&lt;0.05,"YES","no")</f>
        <v>no</v>
      </c>
      <c r="U106" s="4" t="str">
        <f aca="false">IF(P106&lt;0.05,"YES","no")</f>
        <v>no</v>
      </c>
      <c r="V106" s="4" t="str">
        <f aca="false">IF(N106&gt;1,"YES","no")</f>
        <v>no</v>
      </c>
    </row>
    <row r="107" customFormat="false" ht="15" hidden="false" customHeight="false" outlineLevel="0" collapsed="false">
      <c r="A107" s="4" t="s">
        <v>183</v>
      </c>
      <c r="B107" s="4"/>
      <c r="C107" s="4" t="s">
        <v>72</v>
      </c>
      <c r="D107" s="8" t="n">
        <v>496.33971</v>
      </c>
      <c r="E107" s="9" t="n">
        <v>4.961</v>
      </c>
      <c r="F107" s="10" t="n">
        <v>87912740.6538923</v>
      </c>
      <c r="G107" s="10" t="n">
        <v>14767280.7400464</v>
      </c>
      <c r="H107" s="10" t="n">
        <v>92049069.6502784</v>
      </c>
      <c r="I107" s="10" t="n">
        <v>9917918.83889966</v>
      </c>
      <c r="J107" s="10" t="n">
        <v>89980905.1520854</v>
      </c>
      <c r="K107" s="11" t="n">
        <v>1.04705039298764</v>
      </c>
      <c r="L107" s="11" t="n">
        <v>0.066330878719363</v>
      </c>
      <c r="M107" s="11" t="n">
        <v>0.177261324008509</v>
      </c>
      <c r="N107" s="11" t="n">
        <v>0.45897870517162</v>
      </c>
      <c r="O107" s="12" t="n">
        <v>0.583296938733988</v>
      </c>
      <c r="P107" s="12" t="n">
        <v>0.699491548043547</v>
      </c>
      <c r="Q107" s="4" t="n">
        <f aca="false">RANK(N107,$N$7:$N$307,0)</f>
        <v>101</v>
      </c>
      <c r="R107" s="4" t="n">
        <f aca="false">RANK(O107,$O$7:$O$307,1)</f>
        <v>251</v>
      </c>
      <c r="S107" s="4" t="n">
        <f aca="false">RANK(J107,$J$7:$J$307,0)</f>
        <v>21</v>
      </c>
      <c r="T107" s="4" t="str">
        <f aca="false">IF(O107&lt;0.05,"YES","no")</f>
        <v>no</v>
      </c>
      <c r="U107" s="4" t="str">
        <f aca="false">IF(P107&lt;0.05,"YES","no")</f>
        <v>no</v>
      </c>
      <c r="V107" s="4" t="str">
        <f aca="false">IF(N107&gt;1,"YES","no")</f>
        <v>no</v>
      </c>
    </row>
    <row r="108" customFormat="false" ht="15" hidden="false" customHeight="false" outlineLevel="0" collapsed="false">
      <c r="A108" s="4" t="s">
        <v>184</v>
      </c>
      <c r="B108" s="4"/>
      <c r="C108" s="4" t="s">
        <v>72</v>
      </c>
      <c r="D108" s="8" t="n">
        <v>106.08619</v>
      </c>
      <c r="E108" s="9" t="n">
        <v>6.88</v>
      </c>
      <c r="F108" s="10" t="n">
        <v>9225462.83326984</v>
      </c>
      <c r="G108" s="10" t="n">
        <v>2679539.78325674</v>
      </c>
      <c r="H108" s="10" t="n">
        <v>7074010.14297624</v>
      </c>
      <c r="I108" s="10" t="n">
        <v>2196820.73514301</v>
      </c>
      <c r="J108" s="10" t="n">
        <v>8149736.48812304</v>
      </c>
      <c r="K108" s="11" t="n">
        <v>0.766791896604384</v>
      </c>
      <c r="L108" s="11" t="n">
        <v>-0.383093004086883</v>
      </c>
      <c r="M108" s="11" t="n">
        <v>0.433434164606085</v>
      </c>
      <c r="N108" s="11" t="n">
        <v>0.447627319488766</v>
      </c>
      <c r="O108" s="12" t="n">
        <v>0.160409997727992</v>
      </c>
      <c r="P108" s="12" t="n">
        <v>0.314989377986332</v>
      </c>
      <c r="Q108" s="4" t="n">
        <f aca="false">RANK(N108,$N$7:$N$307,0)</f>
        <v>102</v>
      </c>
      <c r="R108" s="4" t="n">
        <f aca="false">RANK(O108,$O$7:$O$307,1)</f>
        <v>153</v>
      </c>
      <c r="S108" s="4" t="n">
        <f aca="false">RANK(J108,$J$7:$J$307,0)</f>
        <v>86</v>
      </c>
      <c r="T108" s="4" t="str">
        <f aca="false">IF(O108&lt;0.05,"YES","no")</f>
        <v>no</v>
      </c>
      <c r="U108" s="4" t="str">
        <f aca="false">IF(P108&lt;0.05,"YES","no")</f>
        <v>no</v>
      </c>
      <c r="V108" s="4" t="str">
        <f aca="false">IF(N108&gt;1,"YES","no")</f>
        <v>no</v>
      </c>
    </row>
    <row r="109" customFormat="false" ht="15" hidden="false" customHeight="false" outlineLevel="0" collapsed="false">
      <c r="A109" s="4" t="s">
        <v>185</v>
      </c>
      <c r="B109" s="4"/>
      <c r="C109" s="4" t="s">
        <v>61</v>
      </c>
      <c r="D109" s="8" t="n">
        <v>134.04474</v>
      </c>
      <c r="E109" s="9" t="n">
        <v>9.92</v>
      </c>
      <c r="F109" s="10" t="n">
        <v>10621263.353589</v>
      </c>
      <c r="G109" s="10" t="n">
        <v>5366803.15398627</v>
      </c>
      <c r="H109" s="10" t="n">
        <v>14404884.4264139</v>
      </c>
      <c r="I109" s="10" t="n">
        <v>4813534.72576205</v>
      </c>
      <c r="J109" s="10" t="n">
        <v>12513073.8900014</v>
      </c>
      <c r="K109" s="11" t="n">
        <v>1.35623079353798</v>
      </c>
      <c r="L109" s="11" t="n">
        <v>0.439602706763596</v>
      </c>
      <c r="M109" s="11" t="n">
        <v>0.376601948099376</v>
      </c>
      <c r="N109" s="11" t="n">
        <v>0.444223908675535</v>
      </c>
      <c r="O109" s="12" t="n">
        <v>0.227896293173408</v>
      </c>
      <c r="P109" s="12" t="n">
        <v>0.391981624258262</v>
      </c>
      <c r="Q109" s="4" t="n">
        <f aca="false">RANK(N109,$N$7:$N$307,0)</f>
        <v>103</v>
      </c>
      <c r="R109" s="4" t="n">
        <f aca="false">RANK(O109,$O$7:$O$307,1)</f>
        <v>175</v>
      </c>
      <c r="S109" s="4" t="n">
        <f aca="false">RANK(J109,$J$7:$J$307,0)</f>
        <v>74</v>
      </c>
      <c r="T109" s="4" t="str">
        <f aca="false">IF(O109&lt;0.05,"YES","no")</f>
        <v>no</v>
      </c>
      <c r="U109" s="4" t="str">
        <f aca="false">IF(P109&lt;0.05,"YES","no")</f>
        <v>no</v>
      </c>
      <c r="V109" s="4" t="str">
        <f aca="false">IF(N109&gt;1,"YES","no")</f>
        <v>no</v>
      </c>
    </row>
    <row r="110" customFormat="false" ht="15" hidden="false" customHeight="false" outlineLevel="0" collapsed="false">
      <c r="A110" s="4" t="s">
        <v>186</v>
      </c>
      <c r="B110" s="4" t="s">
        <v>187</v>
      </c>
      <c r="C110" s="4" t="s">
        <v>61</v>
      </c>
      <c r="D110" s="8" t="n">
        <v>131.04618</v>
      </c>
      <c r="E110" s="9" t="n">
        <v>11.044</v>
      </c>
      <c r="F110" s="10" t="n">
        <v>2352274.63365561</v>
      </c>
      <c r="G110" s="10" t="n">
        <v>670471.461121527</v>
      </c>
      <c r="H110" s="10" t="n">
        <v>4047731.37072534</v>
      </c>
      <c r="I110" s="10" t="n">
        <v>653866.830696811</v>
      </c>
      <c r="J110" s="10" t="n">
        <v>3200003.00219048</v>
      </c>
      <c r="K110" s="11" t="n">
        <v>1.7207732944154</v>
      </c>
      <c r="L110" s="11" t="n">
        <v>0.783057040105228</v>
      </c>
      <c r="M110" s="11" t="n">
        <v>0.814186478374745</v>
      </c>
      <c r="N110" s="11" t="n">
        <v>0.435660010258351</v>
      </c>
      <c r="O110" s="12" t="n">
        <v>0.00126719467613883</v>
      </c>
      <c r="P110" s="12" t="n">
        <v>0.0635709329196314</v>
      </c>
      <c r="Q110" s="4" t="n">
        <f aca="false">RANK(N110,$N$7:$N$307,0)</f>
        <v>104</v>
      </c>
      <c r="R110" s="4" t="n">
        <f aca="false">RANK(O110,$O$7:$O$307,1)</f>
        <v>6</v>
      </c>
      <c r="S110" s="4" t="n">
        <f aca="false">RANK(J110,$J$7:$J$307,0)</f>
        <v>120</v>
      </c>
      <c r="T110" s="4" t="str">
        <f aca="false">IF(O110&lt;0.05,"YES","no")</f>
        <v>YES</v>
      </c>
      <c r="U110" s="4" t="str">
        <f aca="false">IF(P110&lt;0.05,"YES","no")</f>
        <v>no</v>
      </c>
      <c r="V110" s="4" t="str">
        <f aca="false">IF(N110&gt;1,"YES","no")</f>
        <v>no</v>
      </c>
    </row>
    <row r="111" customFormat="false" ht="15" hidden="false" customHeight="false" outlineLevel="0" collapsed="false">
      <c r="A111" s="4" t="s">
        <v>188</v>
      </c>
      <c r="B111" s="4"/>
      <c r="C111" s="4" t="s">
        <v>61</v>
      </c>
      <c r="D111" s="8" t="n">
        <v>195.05091</v>
      </c>
      <c r="E111" s="9" t="n">
        <v>9.065</v>
      </c>
      <c r="F111" s="10" t="n">
        <v>3018443.6805825</v>
      </c>
      <c r="G111" s="10" t="n">
        <v>1604862.39153181</v>
      </c>
      <c r="H111" s="10" t="n">
        <v>5424776.56246225</v>
      </c>
      <c r="I111" s="10" t="n">
        <v>1083536.64992209</v>
      </c>
      <c r="J111" s="10" t="n">
        <v>4221610.12152237</v>
      </c>
      <c r="K111" s="11" t="n">
        <v>1.7972097996592</v>
      </c>
      <c r="L111" s="11" t="n">
        <v>0.845758833589383</v>
      </c>
      <c r="M111" s="11" t="n">
        <v>0.693498516374314</v>
      </c>
      <c r="N111" s="11" t="n">
        <v>0.43468177976195</v>
      </c>
      <c r="O111" s="12" t="n">
        <v>0.0143394555651456</v>
      </c>
      <c r="P111" s="12" t="n">
        <v>0.0846309044138986</v>
      </c>
      <c r="Q111" s="4" t="n">
        <f aca="false">RANK(N111,$N$7:$N$307,0)</f>
        <v>105</v>
      </c>
      <c r="R111" s="4" t="n">
        <f aca="false">RANK(O111,$O$7:$O$307,1)</f>
        <v>51</v>
      </c>
      <c r="S111" s="4" t="n">
        <f aca="false">RANK(J111,$J$7:$J$307,0)</f>
        <v>107</v>
      </c>
      <c r="T111" s="4" t="str">
        <f aca="false">IF(O111&lt;0.05,"YES","no")</f>
        <v>YES</v>
      </c>
      <c r="U111" s="4" t="str">
        <f aca="false">IF(P111&lt;0.05,"YES","no")</f>
        <v>no</v>
      </c>
      <c r="V111" s="4" t="str">
        <f aca="false">IF(N111&gt;1,"YES","no")</f>
        <v>no</v>
      </c>
    </row>
    <row r="112" customFormat="false" ht="15" hidden="false" customHeight="false" outlineLevel="0" collapsed="false">
      <c r="A112" s="4" t="s">
        <v>189</v>
      </c>
      <c r="B112" s="4"/>
      <c r="C112" s="4" t="s">
        <v>61</v>
      </c>
      <c r="D112" s="8" t="n">
        <v>324.05926</v>
      </c>
      <c r="E112" s="9" t="n">
        <v>9.915</v>
      </c>
      <c r="F112" s="10" t="n">
        <v>1766821.22367964</v>
      </c>
      <c r="G112" s="10" t="n">
        <v>676664.792720479</v>
      </c>
      <c r="H112" s="10" t="n">
        <v>3382695.10209036</v>
      </c>
      <c r="I112" s="10" t="n">
        <v>523074.21142915</v>
      </c>
      <c r="J112" s="10" t="n">
        <v>2574758.162885</v>
      </c>
      <c r="K112" s="11" t="n">
        <v>1.91456558069042</v>
      </c>
      <c r="L112" s="11" t="n">
        <v>0.937017078478182</v>
      </c>
      <c r="M112" s="11" t="n">
        <v>0.825653057708879</v>
      </c>
      <c r="N112" s="11" t="n">
        <v>0.429592435340699</v>
      </c>
      <c r="O112" s="12" t="n">
        <v>0.00110480121127478</v>
      </c>
      <c r="P112" s="12" t="n">
        <v>0.0635709329196314</v>
      </c>
      <c r="Q112" s="4" t="n">
        <f aca="false">RANK(N112,$N$7:$N$307,0)</f>
        <v>106</v>
      </c>
      <c r="R112" s="4" t="n">
        <f aca="false">RANK(O112,$O$7:$O$307,1)</f>
        <v>4</v>
      </c>
      <c r="S112" s="4" t="n">
        <f aca="false">RANK(J112,$J$7:$J$307,0)</f>
        <v>128</v>
      </c>
      <c r="T112" s="4" t="str">
        <f aca="false">IF(O112&lt;0.05,"YES","no")</f>
        <v>YES</v>
      </c>
      <c r="U112" s="4" t="str">
        <f aca="false">IF(P112&lt;0.05,"YES","no")</f>
        <v>no</v>
      </c>
      <c r="V112" s="4" t="str">
        <f aca="false">IF(N112&gt;1,"YES","no")</f>
        <v>no</v>
      </c>
    </row>
    <row r="113" customFormat="false" ht="15" hidden="false" customHeight="false" outlineLevel="0" collapsed="false">
      <c r="A113" s="4" t="s">
        <v>190</v>
      </c>
      <c r="B113" s="4" t="s">
        <v>191</v>
      </c>
      <c r="C113" s="4" t="s">
        <v>61</v>
      </c>
      <c r="D113" s="8" t="n">
        <v>244.09276</v>
      </c>
      <c r="E113" s="9" t="n">
        <v>9.689</v>
      </c>
      <c r="F113" s="10" t="n">
        <v>3544481.81601602</v>
      </c>
      <c r="G113" s="10" t="n">
        <v>3011889.59816439</v>
      </c>
      <c r="H113" s="10" t="n">
        <v>6336356.96510305</v>
      </c>
      <c r="I113" s="10" t="n">
        <v>725218.954446337</v>
      </c>
      <c r="J113" s="10" t="n">
        <v>4940419.39055954</v>
      </c>
      <c r="K113" s="11" t="n">
        <v>1.78766806941193</v>
      </c>
      <c r="L113" s="11" t="n">
        <v>0.838078884693035</v>
      </c>
      <c r="M113" s="11" t="n">
        <v>0.572395635654362</v>
      </c>
      <c r="N113" s="11" t="n">
        <v>0.428087108343926</v>
      </c>
      <c r="O113" s="12" t="n">
        <v>0.0727706897862939</v>
      </c>
      <c r="P113" s="12" t="n">
        <v>0.187213483980124</v>
      </c>
      <c r="Q113" s="4" t="n">
        <f aca="false">RANK(N113,$N$7:$N$307,0)</f>
        <v>107</v>
      </c>
      <c r="R113" s="4" t="n">
        <f aca="false">RANK(O113,$O$7:$O$307,1)</f>
        <v>117</v>
      </c>
      <c r="S113" s="4" t="n">
        <f aca="false">RANK(J113,$J$7:$J$307,0)</f>
        <v>101</v>
      </c>
      <c r="T113" s="4" t="str">
        <f aca="false">IF(O113&lt;0.05,"YES","no")</f>
        <v>no</v>
      </c>
      <c r="U113" s="4" t="str">
        <f aca="false">IF(P113&lt;0.05,"YES","no")</f>
        <v>no</v>
      </c>
      <c r="V113" s="4" t="str">
        <f aca="false">IF(N113&gt;1,"YES","no")</f>
        <v>no</v>
      </c>
    </row>
    <row r="114" customFormat="false" ht="15" hidden="false" customHeight="false" outlineLevel="0" collapsed="false">
      <c r="A114" s="4" t="s">
        <v>192</v>
      </c>
      <c r="B114" s="4"/>
      <c r="C114" s="4" t="s">
        <v>61</v>
      </c>
      <c r="D114" s="8" t="n">
        <v>212.00228</v>
      </c>
      <c r="E114" s="9" t="n">
        <v>5.005</v>
      </c>
      <c r="F114" s="10" t="n">
        <v>1204205.11710419</v>
      </c>
      <c r="G114" s="10" t="n">
        <v>1057046.37993209</v>
      </c>
      <c r="H114" s="10" t="n">
        <v>3604255.39071305</v>
      </c>
      <c r="I114" s="10" t="n">
        <v>2871922.42451952</v>
      </c>
      <c r="J114" s="10" t="n">
        <v>2404230.25390862</v>
      </c>
      <c r="K114" s="11" t="n">
        <v>2.99305769384238</v>
      </c>
      <c r="L114" s="11" t="n">
        <v>1.58162008833086</v>
      </c>
      <c r="M114" s="11" t="n">
        <v>0.519191683268745</v>
      </c>
      <c r="N114" s="11" t="n">
        <v>0.423820861648174</v>
      </c>
      <c r="O114" s="12" t="n">
        <v>0.10058777521845</v>
      </c>
      <c r="P114" s="12" t="n">
        <v>0.23289102067379</v>
      </c>
      <c r="Q114" s="4" t="n">
        <f aca="false">RANK(N114,$N$7:$N$307,0)</f>
        <v>108</v>
      </c>
      <c r="R114" s="4" t="n">
        <f aca="false">RANK(O114,$O$7:$O$307,1)</f>
        <v>129</v>
      </c>
      <c r="S114" s="4" t="n">
        <f aca="false">RANK(J114,$J$7:$J$307,0)</f>
        <v>132</v>
      </c>
      <c r="T114" s="4" t="str">
        <f aca="false">IF(O114&lt;0.05,"YES","no")</f>
        <v>no</v>
      </c>
      <c r="U114" s="4" t="str">
        <f aca="false">IF(P114&lt;0.05,"YES","no")</f>
        <v>no</v>
      </c>
      <c r="V114" s="4" t="str">
        <f aca="false">IF(N114&gt;1,"YES","no")</f>
        <v>no</v>
      </c>
    </row>
    <row r="115" customFormat="false" ht="15" hidden="false" customHeight="false" outlineLevel="0" collapsed="false">
      <c r="A115" s="4" t="s">
        <v>193</v>
      </c>
      <c r="B115" s="4" t="s">
        <v>194</v>
      </c>
      <c r="C115" s="4" t="s">
        <v>72</v>
      </c>
      <c r="D115" s="8" t="n">
        <v>123.05519</v>
      </c>
      <c r="E115" s="9" t="n">
        <v>7.786</v>
      </c>
      <c r="F115" s="10" t="n">
        <v>3333843.95885979</v>
      </c>
      <c r="G115" s="10" t="n">
        <v>1304052.06090136</v>
      </c>
      <c r="H115" s="10" t="n">
        <v>5535233.93877816</v>
      </c>
      <c r="I115" s="10" t="n">
        <v>1083145.32774232</v>
      </c>
      <c r="J115" s="10" t="n">
        <v>4434538.94881898</v>
      </c>
      <c r="K115" s="11" t="n">
        <v>1.66031584173822</v>
      </c>
      <c r="L115" s="11" t="n">
        <v>0.731457711431408</v>
      </c>
      <c r="M115" s="11" t="n">
        <v>0.709177770937701</v>
      </c>
      <c r="N115" s="11" t="n">
        <v>0.42160267624517</v>
      </c>
      <c r="O115" s="12" t="n">
        <v>0.0102099661362521</v>
      </c>
      <c r="P115" s="12" t="n">
        <v>0.0807692088686714</v>
      </c>
      <c r="Q115" s="4" t="n">
        <f aca="false">RANK(N115,$N$7:$N$307,0)</f>
        <v>109</v>
      </c>
      <c r="R115" s="4" t="n">
        <f aca="false">RANK(O115,$O$7:$O$307,1)</f>
        <v>32</v>
      </c>
      <c r="S115" s="4" t="n">
        <f aca="false">RANK(J115,$J$7:$J$307,0)</f>
        <v>105</v>
      </c>
      <c r="T115" s="4" t="str">
        <f aca="false">IF(O115&lt;0.05,"YES","no")</f>
        <v>YES</v>
      </c>
      <c r="U115" s="4" t="str">
        <f aca="false">IF(P115&lt;0.05,"YES","no")</f>
        <v>no</v>
      </c>
      <c r="V115" s="4" t="str">
        <f aca="false">IF(N115&gt;1,"YES","no")</f>
        <v>no</v>
      </c>
    </row>
    <row r="116" customFormat="false" ht="15" hidden="false" customHeight="false" outlineLevel="0" collapsed="false">
      <c r="A116" s="4" t="s">
        <v>195</v>
      </c>
      <c r="B116" s="4" t="s">
        <v>196</v>
      </c>
      <c r="C116" s="4" t="s">
        <v>72</v>
      </c>
      <c r="D116" s="8" t="n">
        <v>285.07264</v>
      </c>
      <c r="E116" s="9" t="n">
        <v>9.709</v>
      </c>
      <c r="F116" s="10" t="n">
        <v>1440638.84056237</v>
      </c>
      <c r="G116" s="10" t="n">
        <v>777756.806383556</v>
      </c>
      <c r="H116" s="10" t="n">
        <v>3099618.06607519</v>
      </c>
      <c r="I116" s="10" t="n">
        <v>473899.18489547</v>
      </c>
      <c r="J116" s="10" t="n">
        <v>2270128.45331878</v>
      </c>
      <c r="K116" s="11" t="n">
        <v>2.15155803023138</v>
      </c>
      <c r="L116" s="11" t="n">
        <v>1.10538175211426</v>
      </c>
      <c r="M116" s="11" t="n">
        <v>0.815867304707336</v>
      </c>
      <c r="N116" s="11" t="n">
        <v>0.42091730400013</v>
      </c>
      <c r="O116" s="12" t="n">
        <v>0.00194386945528698</v>
      </c>
      <c r="P116" s="12" t="n">
        <v>0.0731380882551726</v>
      </c>
      <c r="Q116" s="4" t="n">
        <f aca="false">RANK(N116,$N$7:$N$307,0)</f>
        <v>110</v>
      </c>
      <c r="R116" s="4" t="n">
        <f aca="false">RANK(O116,$O$7:$O$307,1)</f>
        <v>8</v>
      </c>
      <c r="S116" s="4" t="n">
        <f aca="false">RANK(J116,$J$7:$J$307,0)</f>
        <v>135</v>
      </c>
      <c r="T116" s="4" t="str">
        <f aca="false">IF(O116&lt;0.05,"YES","no")</f>
        <v>YES</v>
      </c>
      <c r="U116" s="4" t="str">
        <f aca="false">IF(P116&lt;0.05,"YES","no")</f>
        <v>no</v>
      </c>
      <c r="V116" s="4" t="str">
        <f aca="false">IF(N116&gt;1,"YES","no")</f>
        <v>no</v>
      </c>
    </row>
    <row r="117" customFormat="false" ht="15" hidden="false" customHeight="false" outlineLevel="0" collapsed="false">
      <c r="A117" s="4" t="s">
        <v>197</v>
      </c>
      <c r="B117" s="4"/>
      <c r="C117" s="4" t="s">
        <v>61</v>
      </c>
      <c r="D117" s="8" t="n">
        <v>103.04002</v>
      </c>
      <c r="E117" s="9" t="n">
        <v>6.831</v>
      </c>
      <c r="F117" s="10" t="n">
        <v>3443122.40542847</v>
      </c>
      <c r="G117" s="10" t="n">
        <v>2539026.94246313</v>
      </c>
      <c r="H117" s="10" t="n">
        <v>6180608.95647087</v>
      </c>
      <c r="I117" s="10" t="n">
        <v>1797661.97651315</v>
      </c>
      <c r="J117" s="10" t="n">
        <v>4811865.68094967</v>
      </c>
      <c r="K117" s="11" t="n">
        <v>1.79505931788148</v>
      </c>
      <c r="L117" s="11" t="n">
        <v>0.844031518811262</v>
      </c>
      <c r="M117" s="11" t="n">
        <v>0.56321348049997</v>
      </c>
      <c r="N117" s="11" t="n">
        <v>0.418799602470013</v>
      </c>
      <c r="O117" s="12" t="n">
        <v>0.0594904485226547</v>
      </c>
      <c r="P117" s="12" t="n">
        <v>0.172868249839214</v>
      </c>
      <c r="Q117" s="4" t="n">
        <f aca="false">RANK(N117,$N$7:$N$307,0)</f>
        <v>111</v>
      </c>
      <c r="R117" s="4" t="n">
        <f aca="false">RANK(O117,$O$7:$O$307,1)</f>
        <v>103</v>
      </c>
      <c r="S117" s="4" t="n">
        <f aca="false">RANK(J117,$J$7:$J$307,0)</f>
        <v>102</v>
      </c>
      <c r="T117" s="4" t="str">
        <f aca="false">IF(O117&lt;0.05,"YES","no")</f>
        <v>no</v>
      </c>
      <c r="U117" s="4" t="str">
        <f aca="false">IF(P117&lt;0.05,"YES","no")</f>
        <v>no</v>
      </c>
      <c r="V117" s="4" t="str">
        <f aca="false">IF(N117&gt;1,"YES","no")</f>
        <v>no</v>
      </c>
    </row>
    <row r="118" customFormat="false" ht="15" hidden="false" customHeight="false" outlineLevel="0" collapsed="false">
      <c r="A118" s="4" t="s">
        <v>198</v>
      </c>
      <c r="B118" s="4" t="s">
        <v>199</v>
      </c>
      <c r="C118" s="4" t="s">
        <v>61</v>
      </c>
      <c r="D118" s="8" t="n">
        <v>259.02216</v>
      </c>
      <c r="E118" s="9" t="n">
        <v>10.206</v>
      </c>
      <c r="F118" s="10" t="n">
        <v>3691295.89251695</v>
      </c>
      <c r="G118" s="10" t="n">
        <v>3006433.67874061</v>
      </c>
      <c r="H118" s="10" t="n">
        <v>6362646.52604612</v>
      </c>
      <c r="I118" s="10" t="n">
        <v>1629467.21120084</v>
      </c>
      <c r="J118" s="10" t="n">
        <v>5026971.20928154</v>
      </c>
      <c r="K118" s="11" t="n">
        <v>1.72368910846312</v>
      </c>
      <c r="L118" s="11" t="n">
        <v>0.785499587579756</v>
      </c>
      <c r="M118" s="11" t="n">
        <v>0.517701741612382</v>
      </c>
      <c r="N118" s="11" t="n">
        <v>0.412700360059957</v>
      </c>
      <c r="O118" s="12" t="n">
        <v>0.0934375121010088</v>
      </c>
      <c r="P118" s="12" t="n">
        <v>0.223211834463521</v>
      </c>
      <c r="Q118" s="4" t="n">
        <f aca="false">RANK(N118,$N$7:$N$307,0)</f>
        <v>112</v>
      </c>
      <c r="R118" s="4" t="n">
        <f aca="false">RANK(O118,$O$7:$O$307,1)</f>
        <v>126</v>
      </c>
      <c r="S118" s="4" t="n">
        <f aca="false">RANK(J118,$J$7:$J$307,0)</f>
        <v>100</v>
      </c>
      <c r="T118" s="4" t="str">
        <f aca="false">IF(O118&lt;0.05,"YES","no")</f>
        <v>no</v>
      </c>
      <c r="U118" s="4" t="str">
        <f aca="false">IF(P118&lt;0.05,"YES","no")</f>
        <v>no</v>
      </c>
      <c r="V118" s="4" t="str">
        <f aca="false">IF(N118&gt;1,"YES","no")</f>
        <v>no</v>
      </c>
    </row>
    <row r="119" customFormat="false" ht="15" hidden="false" customHeight="false" outlineLevel="0" collapsed="false">
      <c r="A119" s="4" t="s">
        <v>200</v>
      </c>
      <c r="B119" s="4"/>
      <c r="C119" s="4" t="s">
        <v>61</v>
      </c>
      <c r="D119" s="8" t="n">
        <v>426.02172</v>
      </c>
      <c r="E119" s="9" t="n">
        <v>10.067</v>
      </c>
      <c r="F119" s="10" t="n">
        <v>3481009.83226902</v>
      </c>
      <c r="G119" s="10" t="n">
        <v>2353500.03763108</v>
      </c>
      <c r="H119" s="10" t="n">
        <v>3713113.46792143</v>
      </c>
      <c r="I119" s="10" t="n">
        <v>1374054.79994082</v>
      </c>
      <c r="J119" s="10" t="n">
        <v>3597061.65009522</v>
      </c>
      <c r="K119" s="11" t="n">
        <v>1.06667709855365</v>
      </c>
      <c r="L119" s="11" t="n">
        <v>0.0931235137271259</v>
      </c>
      <c r="M119" s="11" t="n">
        <v>0.0658276231110591</v>
      </c>
      <c r="N119" s="11" t="n">
        <v>0.410364999795704</v>
      </c>
      <c r="O119" s="12" t="n">
        <v>0.839926246186954</v>
      </c>
      <c r="P119" s="12" t="n">
        <v>0.893349116969163</v>
      </c>
      <c r="Q119" s="4" t="n">
        <f aca="false">RANK(N119,$N$7:$N$307,0)</f>
        <v>113</v>
      </c>
      <c r="R119" s="4" t="n">
        <f aca="false">RANK(O119,$O$7:$O$307,1)</f>
        <v>283</v>
      </c>
      <c r="S119" s="4" t="n">
        <f aca="false">RANK(J119,$J$7:$J$307,0)</f>
        <v>114</v>
      </c>
      <c r="T119" s="4" t="str">
        <f aca="false">IF(O119&lt;0.05,"YES","no")</f>
        <v>no</v>
      </c>
      <c r="U119" s="4" t="str">
        <f aca="false">IF(P119&lt;0.05,"YES","no")</f>
        <v>no</v>
      </c>
      <c r="V119" s="4" t="str">
        <f aca="false">IF(N119&gt;1,"YES","no")</f>
        <v>no</v>
      </c>
    </row>
    <row r="120" customFormat="false" ht="15" hidden="false" customHeight="false" outlineLevel="0" collapsed="false">
      <c r="A120" s="4" t="s">
        <v>201</v>
      </c>
      <c r="B120" s="4"/>
      <c r="C120" s="4" t="s">
        <v>61</v>
      </c>
      <c r="D120" s="8" t="n">
        <v>157.03674</v>
      </c>
      <c r="E120" s="9" t="n">
        <v>10.553</v>
      </c>
      <c r="F120" s="10" t="n">
        <v>2015986.76031292</v>
      </c>
      <c r="G120" s="10" t="n">
        <v>585687.026655916</v>
      </c>
      <c r="H120" s="10" t="n">
        <v>3845379.88733855</v>
      </c>
      <c r="I120" s="10" t="n">
        <v>1223802.76769826</v>
      </c>
      <c r="J120" s="10" t="n">
        <v>2930683.32382573</v>
      </c>
      <c r="K120" s="11" t="n">
        <v>1.90744302643221</v>
      </c>
      <c r="L120" s="11" t="n">
        <v>0.931639965730185</v>
      </c>
      <c r="M120" s="11" t="n">
        <v>0.722310526048353</v>
      </c>
      <c r="N120" s="11" t="n">
        <v>0.406821484208252</v>
      </c>
      <c r="O120" s="12" t="n">
        <v>0.0126118033781646</v>
      </c>
      <c r="P120" s="12" t="n">
        <v>0.0807692088686714</v>
      </c>
      <c r="Q120" s="4" t="n">
        <f aca="false">RANK(N120,$N$7:$N$307,0)</f>
        <v>114</v>
      </c>
      <c r="R120" s="4" t="n">
        <f aca="false">RANK(O120,$O$7:$O$307,1)</f>
        <v>47</v>
      </c>
      <c r="S120" s="4" t="n">
        <f aca="false">RANK(J120,$J$7:$J$307,0)</f>
        <v>123</v>
      </c>
      <c r="T120" s="4" t="str">
        <f aca="false">IF(O120&lt;0.05,"YES","no")</f>
        <v>YES</v>
      </c>
      <c r="U120" s="4" t="str">
        <f aca="false">IF(P120&lt;0.05,"YES","no")</f>
        <v>no</v>
      </c>
      <c r="V120" s="4" t="str">
        <f aca="false">IF(N120&gt;1,"YES","no")</f>
        <v>no</v>
      </c>
    </row>
    <row r="121" customFormat="false" ht="15" hidden="false" customHeight="false" outlineLevel="0" collapsed="false">
      <c r="A121" s="4" t="s">
        <v>202</v>
      </c>
      <c r="B121" s="4"/>
      <c r="C121" s="4" t="s">
        <v>72</v>
      </c>
      <c r="D121" s="8" t="n">
        <v>204.12295</v>
      </c>
      <c r="E121" s="9" t="n">
        <v>10.705</v>
      </c>
      <c r="F121" s="10" t="n">
        <v>3571284.03924921</v>
      </c>
      <c r="G121" s="10" t="n">
        <v>2704157.00795114</v>
      </c>
      <c r="H121" s="10" t="n">
        <v>4337331.96215543</v>
      </c>
      <c r="I121" s="10" t="n">
        <v>1174196.31987882</v>
      </c>
      <c r="J121" s="10" t="n">
        <v>3954308.00070232</v>
      </c>
      <c r="K121" s="11" t="n">
        <v>1.21450209910138</v>
      </c>
      <c r="L121" s="11" t="n">
        <v>0.280364983477721</v>
      </c>
      <c r="M121" s="11" t="n">
        <v>0.197318634271273</v>
      </c>
      <c r="N121" s="11" t="n">
        <v>0.400236338037668</v>
      </c>
      <c r="O121" s="12" t="n">
        <v>0.545215527620437</v>
      </c>
      <c r="P121" s="12" t="n">
        <v>0.680953833252082</v>
      </c>
      <c r="Q121" s="4" t="n">
        <f aca="false">RANK(N121,$N$7:$N$307,0)</f>
        <v>115</v>
      </c>
      <c r="R121" s="4" t="n">
        <f aca="false">RANK(O121,$O$7:$O$307,1)</f>
        <v>241</v>
      </c>
      <c r="S121" s="4" t="n">
        <f aca="false">RANK(J121,$J$7:$J$307,0)</f>
        <v>110</v>
      </c>
      <c r="T121" s="4" t="str">
        <f aca="false">IF(O121&lt;0.05,"YES","no")</f>
        <v>no</v>
      </c>
      <c r="U121" s="4" t="str">
        <f aca="false">IF(P121&lt;0.05,"YES","no")</f>
        <v>no</v>
      </c>
      <c r="V121" s="4" t="str">
        <f aca="false">IF(N121&gt;1,"YES","no")</f>
        <v>no</v>
      </c>
    </row>
    <row r="122" customFormat="false" ht="15" hidden="false" customHeight="false" outlineLevel="0" collapsed="false">
      <c r="A122" s="4" t="s">
        <v>203</v>
      </c>
      <c r="B122" s="4"/>
      <c r="C122" s="4" t="s">
        <v>61</v>
      </c>
      <c r="D122" s="8" t="n">
        <v>132.06544</v>
      </c>
      <c r="E122" s="9" t="n">
        <v>11.124</v>
      </c>
      <c r="F122" s="10" t="n">
        <v>4545480.22097257</v>
      </c>
      <c r="G122" s="10" t="n">
        <v>3701194.76546866</v>
      </c>
      <c r="H122" s="10" t="n">
        <v>6660792.70340475</v>
      </c>
      <c r="I122" s="10" t="n">
        <v>1312742.05193835</v>
      </c>
      <c r="J122" s="10" t="n">
        <v>5603136.46218866</v>
      </c>
      <c r="K122" s="11" t="n">
        <v>1.46536611746153</v>
      </c>
      <c r="L122" s="11" t="n">
        <v>0.551261162843112</v>
      </c>
      <c r="M122" s="11" t="n">
        <v>0.385060131871089</v>
      </c>
      <c r="N122" s="11" t="n">
        <v>0.39968665876171</v>
      </c>
      <c r="O122" s="12" t="n">
        <v>0.233389772152278</v>
      </c>
      <c r="P122" s="12" t="n">
        <v>0.394664727066493</v>
      </c>
      <c r="Q122" s="4" t="n">
        <f aca="false">RANK(N122,$N$7:$N$307,0)</f>
        <v>116</v>
      </c>
      <c r="R122" s="4" t="n">
        <f aca="false">RANK(O122,$O$7:$O$307,1)</f>
        <v>178</v>
      </c>
      <c r="S122" s="4" t="n">
        <f aca="false">RANK(J122,$J$7:$J$307,0)</f>
        <v>97</v>
      </c>
      <c r="T122" s="4" t="str">
        <f aca="false">IF(O122&lt;0.05,"YES","no")</f>
        <v>no</v>
      </c>
      <c r="U122" s="4" t="str">
        <f aca="false">IF(P122&lt;0.05,"YES","no")</f>
        <v>no</v>
      </c>
      <c r="V122" s="4" t="str">
        <f aca="false">IF(N122&gt;1,"YES","no")</f>
        <v>no</v>
      </c>
    </row>
    <row r="123" customFormat="false" ht="15" hidden="false" customHeight="false" outlineLevel="0" collapsed="false">
      <c r="A123" s="4" t="s">
        <v>204</v>
      </c>
      <c r="B123" s="4"/>
      <c r="C123" s="4" t="s">
        <v>61</v>
      </c>
      <c r="D123" s="8" t="n">
        <v>163.06138</v>
      </c>
      <c r="E123" s="9" t="n">
        <v>9.626</v>
      </c>
      <c r="F123" s="10" t="n">
        <v>1949736.19444902</v>
      </c>
      <c r="G123" s="10" t="n">
        <v>251230.199370554</v>
      </c>
      <c r="H123" s="10" t="n">
        <v>3164598.62635982</v>
      </c>
      <c r="I123" s="10" t="n">
        <v>829318.578081054</v>
      </c>
      <c r="J123" s="10" t="n">
        <v>2557167.41040442</v>
      </c>
      <c r="K123" s="11" t="n">
        <v>1.62309067009658</v>
      </c>
      <c r="L123" s="11" t="n">
        <v>0.698743594861208</v>
      </c>
      <c r="M123" s="11" t="n">
        <v>0.735622985884872</v>
      </c>
      <c r="N123" s="11" t="n">
        <v>0.383793651457451</v>
      </c>
      <c r="O123" s="12" t="n">
        <v>0.0142356589208993</v>
      </c>
      <c r="P123" s="12" t="n">
        <v>0.0846309044138986</v>
      </c>
      <c r="Q123" s="4" t="n">
        <f aca="false">RANK(N123,$N$7:$N$307,0)</f>
        <v>117</v>
      </c>
      <c r="R123" s="4" t="n">
        <f aca="false">RANK(O123,$O$7:$O$307,1)</f>
        <v>50</v>
      </c>
      <c r="S123" s="4" t="n">
        <f aca="false">RANK(J123,$J$7:$J$307,0)</f>
        <v>130</v>
      </c>
      <c r="T123" s="4" t="str">
        <f aca="false">IF(O123&lt;0.05,"YES","no")</f>
        <v>YES</v>
      </c>
      <c r="U123" s="4" t="str">
        <f aca="false">IF(P123&lt;0.05,"YES","no")</f>
        <v>no</v>
      </c>
      <c r="V123" s="4" t="str">
        <f aca="false">IF(N123&gt;1,"YES","no")</f>
        <v>no</v>
      </c>
    </row>
    <row r="124" customFormat="false" ht="15" hidden="false" customHeight="false" outlineLevel="0" collapsed="false">
      <c r="A124" s="4" t="s">
        <v>205</v>
      </c>
      <c r="B124" s="4"/>
      <c r="C124" s="4" t="s">
        <v>61</v>
      </c>
      <c r="D124" s="8" t="n">
        <v>133.06076</v>
      </c>
      <c r="E124" s="9" t="n">
        <v>8.774</v>
      </c>
      <c r="F124" s="10" t="n">
        <v>1386586.46972261</v>
      </c>
      <c r="G124" s="10" t="n">
        <v>1211028.28680286</v>
      </c>
      <c r="H124" s="10" t="n">
        <v>3188723.9599588</v>
      </c>
      <c r="I124" s="10" t="n">
        <v>1080969.60364892</v>
      </c>
      <c r="J124" s="10" t="n">
        <v>2287655.21484071</v>
      </c>
      <c r="K124" s="11" t="n">
        <v>2.29969354929355</v>
      </c>
      <c r="L124" s="11" t="n">
        <v>1.20144162448675</v>
      </c>
      <c r="M124" s="11" t="n">
        <v>0.652011476236052</v>
      </c>
      <c r="N124" s="11" t="n">
        <v>0.3647486057332</v>
      </c>
      <c r="O124" s="12" t="n">
        <v>0.021816969550671</v>
      </c>
      <c r="P124" s="12" t="n">
        <v>0.101029351303877</v>
      </c>
      <c r="Q124" s="4" t="n">
        <f aca="false">RANK(N124,$N$7:$N$307,0)</f>
        <v>118</v>
      </c>
      <c r="R124" s="4" t="n">
        <f aca="false">RANK(O124,$O$7:$O$307,1)</f>
        <v>65</v>
      </c>
      <c r="S124" s="4" t="n">
        <f aca="false">RANK(J124,$J$7:$J$307,0)</f>
        <v>134</v>
      </c>
      <c r="T124" s="4" t="str">
        <f aca="false">IF(O124&lt;0.05,"YES","no")</f>
        <v>YES</v>
      </c>
      <c r="U124" s="4" t="str">
        <f aca="false">IF(P124&lt;0.05,"YES","no")</f>
        <v>no</v>
      </c>
      <c r="V124" s="4" t="str">
        <f aca="false">IF(N124&gt;1,"YES","no")</f>
        <v>no</v>
      </c>
    </row>
    <row r="125" customFormat="false" ht="15" hidden="false" customHeight="false" outlineLevel="0" collapsed="false">
      <c r="A125" s="4" t="s">
        <v>206</v>
      </c>
      <c r="B125" s="4"/>
      <c r="C125" s="4" t="s">
        <v>72</v>
      </c>
      <c r="D125" s="8" t="n">
        <v>298.09699</v>
      </c>
      <c r="E125" s="9" t="n">
        <v>6.861</v>
      </c>
      <c r="F125" s="10" t="n">
        <v>4176095.20180766</v>
      </c>
      <c r="G125" s="10" t="n">
        <v>1913438.25487583</v>
      </c>
      <c r="H125" s="10" t="n">
        <v>6290203.91349825</v>
      </c>
      <c r="I125" s="10" t="n">
        <v>1698809.60887667</v>
      </c>
      <c r="J125" s="10" t="n">
        <v>5233149.55765296</v>
      </c>
      <c r="K125" s="11" t="n">
        <v>1.50624054518093</v>
      </c>
      <c r="L125" s="11" t="n">
        <v>0.590952185433295</v>
      </c>
      <c r="M125" s="11" t="n">
        <v>0.53904943615987</v>
      </c>
      <c r="N125" s="11" t="n">
        <v>0.361040660653646</v>
      </c>
      <c r="O125" s="12" t="n">
        <v>0.0709226537244696</v>
      </c>
      <c r="P125" s="12" t="n">
        <v>0.185632337139699</v>
      </c>
      <c r="Q125" s="4" t="n">
        <f aca="false">RANK(N125,$N$7:$N$307,0)</f>
        <v>119</v>
      </c>
      <c r="R125" s="4" t="n">
        <f aca="false">RANK(O125,$O$7:$O$307,1)</f>
        <v>115</v>
      </c>
      <c r="S125" s="4" t="n">
        <f aca="false">RANK(J125,$J$7:$J$307,0)</f>
        <v>99</v>
      </c>
      <c r="T125" s="4" t="str">
        <f aca="false">IF(O125&lt;0.05,"YES","no")</f>
        <v>no</v>
      </c>
      <c r="U125" s="4" t="str">
        <f aca="false">IF(P125&lt;0.05,"YES","no")</f>
        <v>no</v>
      </c>
      <c r="V125" s="4" t="str">
        <f aca="false">IF(N125&gt;1,"YES","no")</f>
        <v>no</v>
      </c>
    </row>
    <row r="126" customFormat="false" ht="15" hidden="false" customHeight="false" outlineLevel="0" collapsed="false">
      <c r="A126" s="4" t="s">
        <v>207</v>
      </c>
      <c r="B126" s="4"/>
      <c r="C126" s="4" t="s">
        <v>61</v>
      </c>
      <c r="D126" s="8" t="n">
        <v>243.06218</v>
      </c>
      <c r="E126" s="9" t="n">
        <v>8.36</v>
      </c>
      <c r="F126" s="10" t="n">
        <v>2973815.53423626</v>
      </c>
      <c r="G126" s="10" t="n">
        <v>868570.539059235</v>
      </c>
      <c r="H126" s="10" t="n">
        <v>4865628.58738986</v>
      </c>
      <c r="I126" s="10" t="n">
        <v>1907494.34910623</v>
      </c>
      <c r="J126" s="10" t="n">
        <v>3919722.06081306</v>
      </c>
      <c r="K126" s="11" t="n">
        <v>1.63615682660003</v>
      </c>
      <c r="L126" s="11" t="n">
        <v>0.710311038080735</v>
      </c>
      <c r="M126" s="11" t="n">
        <v>0.572999482178454</v>
      </c>
      <c r="N126" s="11" t="n">
        <v>0.356950376984781</v>
      </c>
      <c r="O126" s="12" t="n">
        <v>0.0627761230362706</v>
      </c>
      <c r="P126" s="12" t="n">
        <v>0.172868249839214</v>
      </c>
      <c r="Q126" s="4" t="n">
        <f aca="false">RANK(N126,$N$7:$N$307,0)</f>
        <v>120</v>
      </c>
      <c r="R126" s="4" t="n">
        <f aca="false">RANK(O126,$O$7:$O$307,1)</f>
        <v>108</v>
      </c>
      <c r="S126" s="4" t="n">
        <f aca="false">RANK(J126,$J$7:$J$307,0)</f>
        <v>112</v>
      </c>
      <c r="T126" s="4" t="str">
        <f aca="false">IF(O126&lt;0.05,"YES","no")</f>
        <v>no</v>
      </c>
      <c r="U126" s="4" t="str">
        <f aca="false">IF(P126&lt;0.05,"YES","no")</f>
        <v>no</v>
      </c>
      <c r="V126" s="4" t="str">
        <f aca="false">IF(N126&gt;1,"YES","no")</f>
        <v>no</v>
      </c>
    </row>
    <row r="127" customFormat="false" ht="15" hidden="false" customHeight="false" outlineLevel="0" collapsed="false">
      <c r="A127" s="4" t="s">
        <v>208</v>
      </c>
      <c r="B127" s="4"/>
      <c r="C127" s="4" t="s">
        <v>72</v>
      </c>
      <c r="D127" s="8" t="n">
        <v>153.01939</v>
      </c>
      <c r="E127" s="9" t="n">
        <v>4.016</v>
      </c>
      <c r="F127" s="10" t="n">
        <v>1096947.84535185</v>
      </c>
      <c r="G127" s="10" t="n">
        <v>635853.114847544</v>
      </c>
      <c r="H127" s="10" t="n">
        <v>2429266.29783052</v>
      </c>
      <c r="I127" s="10" t="n">
        <v>786126.656944536</v>
      </c>
      <c r="J127" s="10" t="n">
        <v>1763107.07159118</v>
      </c>
      <c r="K127" s="11" t="n">
        <v>2.21456863981654</v>
      </c>
      <c r="L127" s="11" t="n">
        <v>1.14702571376794</v>
      </c>
      <c r="M127" s="11" t="n">
        <v>0.714309228334891</v>
      </c>
      <c r="N127" s="11" t="n">
        <v>0.343872688317308</v>
      </c>
      <c r="O127" s="12" t="n">
        <v>0.00955976957926809</v>
      </c>
      <c r="P127" s="12" t="n">
        <v>0.0807692088686714</v>
      </c>
      <c r="Q127" s="4" t="n">
        <f aca="false">RANK(N127,$N$7:$N$307,0)</f>
        <v>121</v>
      </c>
      <c r="R127" s="4" t="n">
        <f aca="false">RANK(O127,$O$7:$O$307,1)</f>
        <v>31</v>
      </c>
      <c r="S127" s="4" t="n">
        <f aca="false">RANK(J127,$J$7:$J$307,0)</f>
        <v>146</v>
      </c>
      <c r="T127" s="4" t="str">
        <f aca="false">IF(O127&lt;0.05,"YES","no")</f>
        <v>YES</v>
      </c>
      <c r="U127" s="4" t="str">
        <f aca="false">IF(P127&lt;0.05,"YES","no")</f>
        <v>no</v>
      </c>
      <c r="V127" s="4" t="str">
        <f aca="false">IF(N127&gt;1,"YES","no")</f>
        <v>no</v>
      </c>
    </row>
    <row r="128" customFormat="false" ht="15" hidden="false" customHeight="false" outlineLevel="0" collapsed="false">
      <c r="A128" s="4" t="s">
        <v>209</v>
      </c>
      <c r="B128" s="4"/>
      <c r="C128" s="4" t="s">
        <v>72</v>
      </c>
      <c r="D128" s="8" t="n">
        <v>103.04004</v>
      </c>
      <c r="E128" s="9" t="n">
        <v>8.188</v>
      </c>
      <c r="F128" s="10" t="n">
        <v>1386468.01740953</v>
      </c>
      <c r="G128" s="10" t="n">
        <v>367513.844929273</v>
      </c>
      <c r="H128" s="10" t="n">
        <v>2878543.13900757</v>
      </c>
      <c r="I128" s="10" t="n">
        <v>1459281.7200864</v>
      </c>
      <c r="J128" s="10" t="n">
        <v>2132505.57820855</v>
      </c>
      <c r="K128" s="11" t="n">
        <v>2.0761698812107</v>
      </c>
      <c r="L128" s="11" t="n">
        <v>1.05392449608159</v>
      </c>
      <c r="M128" s="11" t="n">
        <v>0.609108146274738</v>
      </c>
      <c r="N128" s="11" t="n">
        <v>0.338470581327411</v>
      </c>
      <c r="O128" s="12" t="n">
        <v>0.0539212970843413</v>
      </c>
      <c r="P128" s="12" t="n">
        <v>0.168636667429924</v>
      </c>
      <c r="Q128" s="4" t="n">
        <f aca="false">RANK(N128,$N$7:$N$307,0)</f>
        <v>122</v>
      </c>
      <c r="R128" s="4" t="n">
        <f aca="false">RANK(O128,$O$7:$O$307,1)</f>
        <v>95</v>
      </c>
      <c r="S128" s="4" t="n">
        <f aca="false">RANK(J128,$J$7:$J$307,0)</f>
        <v>138</v>
      </c>
      <c r="T128" s="4" t="str">
        <f aca="false">IF(O128&lt;0.05,"YES","no")</f>
        <v>no</v>
      </c>
      <c r="U128" s="4" t="str">
        <f aca="false">IF(P128&lt;0.05,"YES","no")</f>
        <v>no</v>
      </c>
      <c r="V128" s="4" t="str">
        <f aca="false">IF(N128&gt;1,"YES","no")</f>
        <v>no</v>
      </c>
    </row>
    <row r="129" customFormat="false" ht="15" hidden="false" customHeight="false" outlineLevel="0" collapsed="false">
      <c r="A129" s="4" t="s">
        <v>210</v>
      </c>
      <c r="B129" s="4" t="s">
        <v>211</v>
      </c>
      <c r="C129" s="4" t="s">
        <v>61</v>
      </c>
      <c r="D129" s="8" t="n">
        <v>130.0862</v>
      </c>
      <c r="E129" s="9" t="n">
        <v>10.393</v>
      </c>
      <c r="F129" s="10" t="n">
        <v>6247718.15736157</v>
      </c>
      <c r="G129" s="10" t="n">
        <v>2357383.74161739</v>
      </c>
      <c r="H129" s="10" t="n">
        <v>8391260.17110417</v>
      </c>
      <c r="I129" s="10" t="n">
        <v>2265934.09585659</v>
      </c>
      <c r="J129" s="10" t="n">
        <v>7319489.16423287</v>
      </c>
      <c r="K129" s="11" t="n">
        <v>1.34309198330544</v>
      </c>
      <c r="L129" s="11" t="n">
        <v>0.425558112892166</v>
      </c>
      <c r="M129" s="11" t="n">
        <v>0.452761435850869</v>
      </c>
      <c r="N129" s="11" t="n">
        <v>0.334022901118379</v>
      </c>
      <c r="O129" s="12" t="n">
        <v>0.139452317612155</v>
      </c>
      <c r="P129" s="12" t="n">
        <v>0.28554522177727</v>
      </c>
      <c r="Q129" s="4" t="n">
        <f aca="false">RANK(N129,$N$7:$N$307,0)</f>
        <v>123</v>
      </c>
      <c r="R129" s="4" t="n">
        <f aca="false">RANK(O129,$O$7:$O$307,1)</f>
        <v>147</v>
      </c>
      <c r="S129" s="4" t="n">
        <f aca="false">RANK(J129,$J$7:$J$307,0)</f>
        <v>89</v>
      </c>
      <c r="T129" s="4" t="str">
        <f aca="false">IF(O129&lt;0.05,"YES","no")</f>
        <v>no</v>
      </c>
      <c r="U129" s="4" t="str">
        <f aca="false">IF(P129&lt;0.05,"YES","no")</f>
        <v>no</v>
      </c>
      <c r="V129" s="4" t="str">
        <f aca="false">IF(N129&gt;1,"YES","no")</f>
        <v>no</v>
      </c>
    </row>
    <row r="130" customFormat="false" ht="15" hidden="false" customHeight="false" outlineLevel="0" collapsed="false">
      <c r="A130" s="4" t="s">
        <v>212</v>
      </c>
      <c r="B130" s="4" t="s">
        <v>174</v>
      </c>
      <c r="C130" s="4" t="s">
        <v>72</v>
      </c>
      <c r="D130" s="8" t="n">
        <v>505.98832</v>
      </c>
      <c r="E130" s="9" t="n">
        <v>12.002</v>
      </c>
      <c r="F130" s="10" t="n">
        <v>480166.100618586</v>
      </c>
      <c r="G130" s="10" t="n">
        <v>770469.848306815</v>
      </c>
      <c r="H130" s="10" t="n">
        <v>109972.669315755</v>
      </c>
      <c r="I130" s="10" t="n">
        <v>52878.7079983087</v>
      </c>
      <c r="J130" s="10" t="n">
        <v>295069.38496717</v>
      </c>
      <c r="K130" s="11" t="n">
        <v>0.229030473359281</v>
      </c>
      <c r="L130" s="11" t="n">
        <v>-2.12638852783408</v>
      </c>
      <c r="M130" s="11" t="n">
        <v>0.348082936791054</v>
      </c>
      <c r="N130" s="11" t="n">
        <v>0.329375681076573</v>
      </c>
      <c r="O130" s="12" t="n">
        <v>0.292739811146575</v>
      </c>
      <c r="P130" s="12" t="n">
        <v>0.454199397706799</v>
      </c>
      <c r="Q130" s="4" t="n">
        <f aca="false">RANK(N130,$N$7:$N$307,0)</f>
        <v>124</v>
      </c>
      <c r="R130" s="4" t="n">
        <f aca="false">RANK(O130,$O$7:$O$307,1)</f>
        <v>194</v>
      </c>
      <c r="S130" s="4" t="n">
        <f aca="false">RANK(J130,$J$7:$J$307,0)</f>
        <v>235</v>
      </c>
      <c r="T130" s="4" t="str">
        <f aca="false">IF(O130&lt;0.05,"YES","no")</f>
        <v>no</v>
      </c>
      <c r="U130" s="4" t="str">
        <f aca="false">IF(P130&lt;0.05,"YES","no")</f>
        <v>no</v>
      </c>
      <c r="V130" s="4" t="str">
        <f aca="false">IF(N130&gt;1,"YES","no")</f>
        <v>no</v>
      </c>
    </row>
    <row r="131" customFormat="false" ht="15" hidden="false" customHeight="false" outlineLevel="0" collapsed="false">
      <c r="A131" s="4" t="s">
        <v>213</v>
      </c>
      <c r="B131" s="4"/>
      <c r="C131" s="4" t="s">
        <v>72</v>
      </c>
      <c r="D131" s="8" t="n">
        <v>87.04504</v>
      </c>
      <c r="E131" s="9" t="n">
        <v>6.833</v>
      </c>
      <c r="F131" s="10" t="n">
        <v>2211823.5490877</v>
      </c>
      <c r="G131" s="10" t="n">
        <v>2374131.40707221</v>
      </c>
      <c r="H131" s="10" t="n">
        <v>2526602.66554619</v>
      </c>
      <c r="I131" s="10" t="n">
        <v>551715.069475134</v>
      </c>
      <c r="J131" s="10" t="n">
        <v>2369213.10731694</v>
      </c>
      <c r="K131" s="11" t="n">
        <v>1.14231655892638</v>
      </c>
      <c r="L131" s="11" t="n">
        <v>0.191962505961071</v>
      </c>
      <c r="M131" s="11" t="n">
        <v>0.0995390683308482</v>
      </c>
      <c r="N131" s="11" t="n">
        <v>0.323085057584179</v>
      </c>
      <c r="O131" s="12" t="n">
        <v>0.763323166720844</v>
      </c>
      <c r="P131" s="12" t="n">
        <v>0.843694395144289</v>
      </c>
      <c r="Q131" s="4" t="n">
        <f aca="false">RANK(N131,$N$7:$N$307,0)</f>
        <v>125</v>
      </c>
      <c r="R131" s="4" t="n">
        <f aca="false">RANK(O131,$O$7:$O$307,1)</f>
        <v>272</v>
      </c>
      <c r="S131" s="4" t="n">
        <f aca="false">RANK(J131,$J$7:$J$307,0)</f>
        <v>133</v>
      </c>
      <c r="T131" s="4" t="str">
        <f aca="false">IF(O131&lt;0.05,"YES","no")</f>
        <v>no</v>
      </c>
      <c r="U131" s="4" t="str">
        <f aca="false">IF(P131&lt;0.05,"YES","no")</f>
        <v>no</v>
      </c>
      <c r="V131" s="4" t="str">
        <f aca="false">IF(N131&gt;1,"YES","no")</f>
        <v>no</v>
      </c>
    </row>
    <row r="132" customFormat="false" ht="15" hidden="false" customHeight="false" outlineLevel="0" collapsed="false">
      <c r="A132" s="4" t="s">
        <v>214</v>
      </c>
      <c r="B132" s="4"/>
      <c r="C132" s="4" t="s">
        <v>61</v>
      </c>
      <c r="D132" s="8" t="n">
        <v>135.04513</v>
      </c>
      <c r="E132" s="9" t="n">
        <v>5.018</v>
      </c>
      <c r="F132" s="10" t="n">
        <v>15948854.2302084</v>
      </c>
      <c r="G132" s="10" t="n">
        <v>5635711.40476693</v>
      </c>
      <c r="H132" s="10" t="n">
        <v>16178227.9902955</v>
      </c>
      <c r="I132" s="10" t="n">
        <v>4641157.0310468</v>
      </c>
      <c r="J132" s="10" t="n">
        <v>16063541.110252</v>
      </c>
      <c r="K132" s="11" t="n">
        <v>1.01438183312583</v>
      </c>
      <c r="L132" s="11" t="n">
        <v>0.020600813155053</v>
      </c>
      <c r="M132" s="11" t="n">
        <v>0.0243288032167723</v>
      </c>
      <c r="N132" s="11" t="n">
        <v>0.319829870841016</v>
      </c>
      <c r="O132" s="12" t="n">
        <v>0.940230466609406</v>
      </c>
      <c r="P132" s="12" t="n">
        <v>0.962616906290583</v>
      </c>
      <c r="Q132" s="4" t="n">
        <f aca="false">RANK(N132,$N$7:$N$307,0)</f>
        <v>126</v>
      </c>
      <c r="R132" s="4" t="n">
        <f aca="false">RANK(O132,$O$7:$O$307,1)</f>
        <v>294</v>
      </c>
      <c r="S132" s="4" t="n">
        <f aca="false">RANK(J132,$J$7:$J$307,0)</f>
        <v>62</v>
      </c>
      <c r="T132" s="4" t="str">
        <f aca="false">IF(O132&lt;0.05,"YES","no")</f>
        <v>no</v>
      </c>
      <c r="U132" s="4" t="str">
        <f aca="false">IF(P132&lt;0.05,"YES","no")</f>
        <v>no</v>
      </c>
      <c r="V132" s="4" t="str">
        <f aca="false">IF(N132&gt;1,"YES","no")</f>
        <v>no</v>
      </c>
    </row>
    <row r="133" customFormat="false" ht="15" hidden="false" customHeight="false" outlineLevel="0" collapsed="false">
      <c r="A133" s="4" t="s">
        <v>215</v>
      </c>
      <c r="B133" s="4"/>
      <c r="C133" s="4" t="s">
        <v>72</v>
      </c>
      <c r="D133" s="8" t="n">
        <v>229.15467</v>
      </c>
      <c r="E133" s="9" t="n">
        <v>6.868</v>
      </c>
      <c r="F133" s="10" t="n">
        <v>389083.787309411</v>
      </c>
      <c r="G133" s="10" t="n">
        <v>157839.696151512</v>
      </c>
      <c r="H133" s="10" t="n">
        <v>1272058.30521344</v>
      </c>
      <c r="I133" s="10" t="n">
        <v>469789.976948306</v>
      </c>
      <c r="J133" s="10" t="n">
        <v>830571.046261427</v>
      </c>
      <c r="K133" s="11" t="n">
        <v>3.26936856971084</v>
      </c>
      <c r="L133" s="11" t="n">
        <v>1.70901202737151</v>
      </c>
      <c r="M133" s="11" t="n">
        <v>0.809760363637201</v>
      </c>
      <c r="N133" s="11" t="n">
        <v>0.317377042714492</v>
      </c>
      <c r="O133" s="12" t="n">
        <v>0.00454230021926921</v>
      </c>
      <c r="P133" s="12" t="n">
        <v>0.0804254332941195</v>
      </c>
      <c r="Q133" s="4" t="n">
        <f aca="false">RANK(N133,$N$7:$N$307,0)</f>
        <v>127</v>
      </c>
      <c r="R133" s="4" t="n">
        <f aca="false">RANK(O133,$O$7:$O$307,1)</f>
        <v>17</v>
      </c>
      <c r="S133" s="4" t="n">
        <f aca="false">RANK(J133,$J$7:$J$307,0)</f>
        <v>179</v>
      </c>
      <c r="T133" s="4" t="str">
        <f aca="false">IF(O133&lt;0.05,"YES","no")</f>
        <v>YES</v>
      </c>
      <c r="U133" s="4" t="str">
        <f aca="false">IF(P133&lt;0.05,"YES","no")</f>
        <v>no</v>
      </c>
      <c r="V133" s="4" t="str">
        <f aca="false">IF(N133&gt;1,"YES","no")</f>
        <v>no</v>
      </c>
    </row>
    <row r="134" customFormat="false" ht="15" hidden="false" customHeight="false" outlineLevel="0" collapsed="false">
      <c r="A134" s="4" t="s">
        <v>216</v>
      </c>
      <c r="B134" s="4"/>
      <c r="C134" s="4" t="s">
        <v>72</v>
      </c>
      <c r="D134" s="8" t="n">
        <v>140.01177</v>
      </c>
      <c r="E134" s="9" t="n">
        <v>11</v>
      </c>
      <c r="F134" s="10" t="n">
        <v>15358087.3882769</v>
      </c>
      <c r="G134" s="10" t="n">
        <v>5873387.28313807</v>
      </c>
      <c r="H134" s="10" t="n">
        <v>17949409.5906194</v>
      </c>
      <c r="I134" s="10" t="n">
        <v>1091256.96294938</v>
      </c>
      <c r="J134" s="10" t="n">
        <v>16653748.4894482</v>
      </c>
      <c r="K134" s="11" t="n">
        <v>1.16872688224971</v>
      </c>
      <c r="L134" s="11" t="n">
        <v>0.224937828364078</v>
      </c>
      <c r="M134" s="11" t="n">
        <v>0.318501593174764</v>
      </c>
      <c r="N134" s="11" t="n">
        <v>0.307542858621051</v>
      </c>
      <c r="O134" s="12" t="n">
        <v>0.333629867287168</v>
      </c>
      <c r="P134" s="12" t="n">
        <v>0.507184798249685</v>
      </c>
      <c r="Q134" s="4" t="n">
        <f aca="false">RANK(N134,$N$7:$N$307,0)</f>
        <v>128</v>
      </c>
      <c r="R134" s="4" t="n">
        <f aca="false">RANK(O134,$O$7:$O$307,1)</f>
        <v>198</v>
      </c>
      <c r="S134" s="4" t="n">
        <f aca="false">RANK(J134,$J$7:$J$307,0)</f>
        <v>58</v>
      </c>
      <c r="T134" s="4" t="str">
        <f aca="false">IF(O134&lt;0.05,"YES","no")</f>
        <v>no</v>
      </c>
      <c r="U134" s="4" t="str">
        <f aca="false">IF(P134&lt;0.05,"YES","no")</f>
        <v>no</v>
      </c>
      <c r="V134" s="4" t="str">
        <f aca="false">IF(N134&gt;1,"YES","no")</f>
        <v>no</v>
      </c>
    </row>
    <row r="135" customFormat="false" ht="15" hidden="false" customHeight="false" outlineLevel="0" collapsed="false">
      <c r="A135" s="4" t="s">
        <v>217</v>
      </c>
      <c r="B135" s="4"/>
      <c r="C135" s="4" t="s">
        <v>61</v>
      </c>
      <c r="D135" s="8" t="n">
        <v>178.05098</v>
      </c>
      <c r="E135" s="9" t="n">
        <v>5.022</v>
      </c>
      <c r="F135" s="10" t="n">
        <v>405771.647377944</v>
      </c>
      <c r="G135" s="10" t="n">
        <v>442776.765200775</v>
      </c>
      <c r="H135" s="10" t="n">
        <v>1302677.24028793</v>
      </c>
      <c r="I135" s="10" t="n">
        <v>637065.963494688</v>
      </c>
      <c r="J135" s="10" t="n">
        <v>854224.443832938</v>
      </c>
      <c r="K135" s="11" t="n">
        <v>3.21037028758835</v>
      </c>
      <c r="L135" s="11" t="n">
        <v>1.68273970895441</v>
      </c>
      <c r="M135" s="11" t="n">
        <v>0.66710461619593</v>
      </c>
      <c r="N135" s="11" t="n">
        <v>0.306603367218642</v>
      </c>
      <c r="O135" s="12" t="n">
        <v>0.0198432909883437</v>
      </c>
      <c r="P135" s="12" t="n">
        <v>0.0983079278637452</v>
      </c>
      <c r="Q135" s="4" t="n">
        <f aca="false">RANK(N135,$N$7:$N$307,0)</f>
        <v>129</v>
      </c>
      <c r="R135" s="4" t="n">
        <f aca="false">RANK(O135,$O$7:$O$307,1)</f>
        <v>60</v>
      </c>
      <c r="S135" s="4" t="n">
        <f aca="false">RANK(J135,$J$7:$J$307,0)</f>
        <v>177</v>
      </c>
      <c r="T135" s="4" t="str">
        <f aca="false">IF(O135&lt;0.05,"YES","no")</f>
        <v>YES</v>
      </c>
      <c r="U135" s="4" t="str">
        <f aca="false">IF(P135&lt;0.05,"YES","no")</f>
        <v>no</v>
      </c>
      <c r="V135" s="4" t="str">
        <f aca="false">IF(N135&gt;1,"YES","no")</f>
        <v>no</v>
      </c>
    </row>
    <row r="136" customFormat="false" ht="15" hidden="false" customHeight="false" outlineLevel="0" collapsed="false">
      <c r="A136" s="4" t="s">
        <v>218</v>
      </c>
      <c r="B136" s="4"/>
      <c r="C136" s="4" t="s">
        <v>72</v>
      </c>
      <c r="D136" s="8" t="n">
        <v>120.06549</v>
      </c>
      <c r="E136" s="9" t="n">
        <v>11.686</v>
      </c>
      <c r="F136" s="10" t="n">
        <v>1224442.87418443</v>
      </c>
      <c r="G136" s="10" t="n">
        <v>610490.331954784</v>
      </c>
      <c r="H136" s="10" t="n">
        <v>2261952.76884172</v>
      </c>
      <c r="I136" s="10" t="n">
        <v>1019562.05030059</v>
      </c>
      <c r="J136" s="10" t="n">
        <v>1743197.82151307</v>
      </c>
      <c r="K136" s="11" t="n">
        <v>1.8473322165792</v>
      </c>
      <c r="L136" s="11" t="n">
        <v>0.885443337956633</v>
      </c>
      <c r="M136" s="11" t="n">
        <v>0.560194345102594</v>
      </c>
      <c r="N136" s="11" t="n">
        <v>0.304647820148587</v>
      </c>
      <c r="O136" s="12" t="n">
        <v>0.0641894878314588</v>
      </c>
      <c r="P136" s="12" t="n">
        <v>0.174063385921343</v>
      </c>
      <c r="Q136" s="4" t="n">
        <f aca="false">RANK(N136,$N$7:$N$307,0)</f>
        <v>130</v>
      </c>
      <c r="R136" s="4" t="n">
        <f aca="false">RANK(O136,$O$7:$O$307,1)</f>
        <v>111</v>
      </c>
      <c r="S136" s="4" t="n">
        <f aca="false">RANK(J136,$J$7:$J$307,0)</f>
        <v>147</v>
      </c>
      <c r="T136" s="4" t="str">
        <f aca="false">IF(O136&lt;0.05,"YES","no")</f>
        <v>no</v>
      </c>
      <c r="U136" s="4" t="str">
        <f aca="false">IF(P136&lt;0.05,"YES","no")</f>
        <v>no</v>
      </c>
      <c r="V136" s="4" t="str">
        <f aca="false">IF(N136&gt;1,"YES","no")</f>
        <v>no</v>
      </c>
    </row>
    <row r="137" customFormat="false" ht="15" hidden="false" customHeight="false" outlineLevel="0" collapsed="false">
      <c r="A137" s="4" t="s">
        <v>219</v>
      </c>
      <c r="B137" s="4"/>
      <c r="C137" s="4" t="s">
        <v>72</v>
      </c>
      <c r="D137" s="8" t="n">
        <v>131.08258</v>
      </c>
      <c r="E137" s="9" t="n">
        <v>11.631</v>
      </c>
      <c r="F137" s="10" t="n">
        <v>2026403.13229398</v>
      </c>
      <c r="G137" s="10" t="n">
        <v>840596.688450411</v>
      </c>
      <c r="H137" s="10" t="n">
        <v>3188914.11195334</v>
      </c>
      <c r="I137" s="10" t="n">
        <v>532045.488794974</v>
      </c>
      <c r="J137" s="10" t="n">
        <v>2607658.62212366</v>
      </c>
      <c r="K137" s="11" t="n">
        <v>1.5736819891032</v>
      </c>
      <c r="L137" s="11" t="n">
        <v>0.654144029347786</v>
      </c>
      <c r="M137" s="11" t="n">
        <v>0.671076442683321</v>
      </c>
      <c r="N137" s="11" t="n">
        <v>0.297568681946103</v>
      </c>
      <c r="O137" s="12" t="n">
        <v>0.019922869101955</v>
      </c>
      <c r="P137" s="12" t="n">
        <v>0.0983079278637452</v>
      </c>
      <c r="Q137" s="4" t="n">
        <f aca="false">RANK(N137,$N$7:$N$307,0)</f>
        <v>131</v>
      </c>
      <c r="R137" s="4" t="n">
        <f aca="false">RANK(O137,$O$7:$O$307,1)</f>
        <v>61</v>
      </c>
      <c r="S137" s="4" t="n">
        <f aca="false">RANK(J137,$J$7:$J$307,0)</f>
        <v>127</v>
      </c>
      <c r="T137" s="4" t="str">
        <f aca="false">IF(O137&lt;0.05,"YES","no")</f>
        <v>YES</v>
      </c>
      <c r="U137" s="4" t="str">
        <f aca="false">IF(P137&lt;0.05,"YES","no")</f>
        <v>no</v>
      </c>
      <c r="V137" s="4" t="str">
        <f aca="false">IF(N137&gt;1,"YES","no")</f>
        <v>no</v>
      </c>
    </row>
    <row r="138" customFormat="false" ht="15" hidden="false" customHeight="false" outlineLevel="0" collapsed="false">
      <c r="A138" s="4" t="s">
        <v>220</v>
      </c>
      <c r="B138" s="4"/>
      <c r="C138" s="4" t="s">
        <v>72</v>
      </c>
      <c r="D138" s="8" t="n">
        <v>522.20298</v>
      </c>
      <c r="E138" s="9" t="n">
        <v>11.479</v>
      </c>
      <c r="F138" s="10" t="n">
        <v>1442017.96189034</v>
      </c>
      <c r="G138" s="10" t="n">
        <v>1415220.25240316</v>
      </c>
      <c r="H138" s="10" t="n">
        <v>3043939.52499325</v>
      </c>
      <c r="I138" s="10" t="n">
        <v>2383976.83940946</v>
      </c>
      <c r="J138" s="10" t="n">
        <v>2242978.7434418</v>
      </c>
      <c r="K138" s="11" t="n">
        <v>2.11088877215022</v>
      </c>
      <c r="L138" s="11" t="n">
        <v>1.07785056158657</v>
      </c>
      <c r="M138" s="11" t="n">
        <v>0.408519546549173</v>
      </c>
      <c r="N138" s="11" t="n">
        <v>0.296879582642453</v>
      </c>
      <c r="O138" s="12" t="n">
        <v>0.194091422154687</v>
      </c>
      <c r="P138" s="12" t="n">
        <v>0.356228768710736</v>
      </c>
      <c r="Q138" s="4" t="n">
        <f aca="false">RANK(N138,$N$7:$N$307,0)</f>
        <v>132</v>
      </c>
      <c r="R138" s="4" t="n">
        <f aca="false">RANK(O138,$O$7:$O$307,1)</f>
        <v>164</v>
      </c>
      <c r="S138" s="4" t="n">
        <f aca="false">RANK(J138,$J$7:$J$307,0)</f>
        <v>136</v>
      </c>
      <c r="T138" s="4" t="str">
        <f aca="false">IF(O138&lt;0.05,"YES","no")</f>
        <v>no</v>
      </c>
      <c r="U138" s="4" t="str">
        <f aca="false">IF(P138&lt;0.05,"YES","no")</f>
        <v>no</v>
      </c>
      <c r="V138" s="4" t="str">
        <f aca="false">IF(N138&gt;1,"YES","no")</f>
        <v>no</v>
      </c>
    </row>
    <row r="139" customFormat="false" ht="15" hidden="false" customHeight="false" outlineLevel="0" collapsed="false">
      <c r="A139" s="4" t="s">
        <v>221</v>
      </c>
      <c r="B139" s="4"/>
      <c r="C139" s="4" t="s">
        <v>72</v>
      </c>
      <c r="D139" s="8" t="n">
        <v>207.99828</v>
      </c>
      <c r="E139" s="9" t="n">
        <v>9.816</v>
      </c>
      <c r="F139" s="10" t="n">
        <v>4565553.06367135</v>
      </c>
      <c r="G139" s="10" t="n">
        <v>773661.986846935</v>
      </c>
      <c r="H139" s="10" t="n">
        <v>3377642.09067526</v>
      </c>
      <c r="I139" s="10" t="n">
        <v>930947.406481347</v>
      </c>
      <c r="J139" s="10" t="n">
        <v>3971597.5771733</v>
      </c>
      <c r="K139" s="11" t="n">
        <v>0.739810061031062</v>
      </c>
      <c r="L139" s="11" t="n">
        <v>-0.434773174391769</v>
      </c>
      <c r="M139" s="11" t="n">
        <v>0.605167262100134</v>
      </c>
      <c r="N139" s="11" t="n">
        <v>0.288308753578593</v>
      </c>
      <c r="O139" s="12" t="n">
        <v>0.0378426294936041</v>
      </c>
      <c r="P139" s="12" t="n">
        <v>0.142382893469686</v>
      </c>
      <c r="Q139" s="4" t="n">
        <f aca="false">RANK(N139,$N$7:$N$307,0)</f>
        <v>133</v>
      </c>
      <c r="R139" s="4" t="n">
        <f aca="false">RANK(O139,$O$7:$O$307,1)</f>
        <v>80</v>
      </c>
      <c r="S139" s="4" t="n">
        <f aca="false">RANK(J139,$J$7:$J$307,0)</f>
        <v>109</v>
      </c>
      <c r="T139" s="4" t="str">
        <f aca="false">IF(O139&lt;0.05,"YES","no")</f>
        <v>YES</v>
      </c>
      <c r="U139" s="4" t="str">
        <f aca="false">IF(P139&lt;0.05,"YES","no")</f>
        <v>no</v>
      </c>
      <c r="V139" s="4" t="str">
        <f aca="false">IF(N139&gt;1,"YES","no")</f>
        <v>no</v>
      </c>
    </row>
    <row r="140" customFormat="false" ht="15" hidden="false" customHeight="false" outlineLevel="0" collapsed="false">
      <c r="A140" s="4" t="s">
        <v>222</v>
      </c>
      <c r="B140" s="4"/>
      <c r="C140" s="4" t="s">
        <v>61</v>
      </c>
      <c r="D140" s="8" t="n">
        <v>665.215</v>
      </c>
      <c r="E140" s="9" t="n">
        <v>11.713</v>
      </c>
      <c r="F140" s="10" t="n">
        <v>1313953.28155593</v>
      </c>
      <c r="G140" s="10" t="n">
        <v>1590741.49771371</v>
      </c>
      <c r="H140" s="10" t="n">
        <v>2871242.96391965</v>
      </c>
      <c r="I140" s="10" t="n">
        <v>2253800.31020549</v>
      </c>
      <c r="J140" s="10" t="n">
        <v>2092598.12273779</v>
      </c>
      <c r="K140" s="11" t="n">
        <v>2.18519410410059</v>
      </c>
      <c r="L140" s="11" t="n">
        <v>1.12776143560035</v>
      </c>
      <c r="M140" s="11" t="n">
        <v>0.400642644400705</v>
      </c>
      <c r="N140" s="11" t="n">
        <v>0.287003085298791</v>
      </c>
      <c r="O140" s="12" t="n">
        <v>0.20010790086367</v>
      </c>
      <c r="P140" s="12" t="n">
        <v>0.362846253975691</v>
      </c>
      <c r="Q140" s="4" t="n">
        <f aca="false">RANK(N140,$N$7:$N$307,0)</f>
        <v>134</v>
      </c>
      <c r="R140" s="4" t="n">
        <f aca="false">RANK(O140,$O$7:$O$307,1)</f>
        <v>166</v>
      </c>
      <c r="S140" s="4" t="n">
        <f aca="false">RANK(J140,$J$7:$J$307,0)</f>
        <v>139</v>
      </c>
      <c r="T140" s="4" t="str">
        <f aca="false">IF(O140&lt;0.05,"YES","no")</f>
        <v>no</v>
      </c>
      <c r="U140" s="4" t="str">
        <f aca="false">IF(P140&lt;0.05,"YES","no")</f>
        <v>no</v>
      </c>
      <c r="V140" s="4" t="str">
        <f aca="false">IF(N140&gt;1,"YES","no")</f>
        <v>no</v>
      </c>
    </row>
    <row r="141" customFormat="false" ht="15" hidden="false" customHeight="false" outlineLevel="0" collapsed="false">
      <c r="A141" s="4" t="s">
        <v>223</v>
      </c>
      <c r="B141" s="4" t="s">
        <v>224</v>
      </c>
      <c r="C141" s="4" t="s">
        <v>61</v>
      </c>
      <c r="D141" s="8" t="n">
        <v>579.0272</v>
      </c>
      <c r="E141" s="9" t="n">
        <v>10.234</v>
      </c>
      <c r="F141" s="10" t="n">
        <v>1032326.13065448</v>
      </c>
      <c r="G141" s="10" t="n">
        <v>575369.808725652</v>
      </c>
      <c r="H141" s="10" t="n">
        <v>2019145.46756868</v>
      </c>
      <c r="I141" s="10" t="n">
        <v>508028.652933805</v>
      </c>
      <c r="J141" s="10" t="n">
        <v>1525735.79911158</v>
      </c>
      <c r="K141" s="11" t="n">
        <v>1.95591820027705</v>
      </c>
      <c r="L141" s="11" t="n">
        <v>0.967846035667275</v>
      </c>
      <c r="M141" s="11" t="n">
        <v>0.705642130989582</v>
      </c>
      <c r="N141" s="11" t="n">
        <v>0.285586059419169</v>
      </c>
      <c r="O141" s="12" t="n">
        <v>0.0105361082504362</v>
      </c>
      <c r="P141" s="12" t="n">
        <v>0.0807692088686714</v>
      </c>
      <c r="Q141" s="4" t="n">
        <f aca="false">RANK(N141,$N$7:$N$307,0)</f>
        <v>135</v>
      </c>
      <c r="R141" s="4" t="n">
        <f aca="false">RANK(O141,$O$7:$O$307,1)</f>
        <v>37</v>
      </c>
      <c r="S141" s="4" t="n">
        <f aca="false">RANK(J141,$J$7:$J$307,0)</f>
        <v>153</v>
      </c>
      <c r="T141" s="4" t="str">
        <f aca="false">IF(O141&lt;0.05,"YES","no")</f>
        <v>YES</v>
      </c>
      <c r="U141" s="4" t="str">
        <f aca="false">IF(P141&lt;0.05,"YES","no")</f>
        <v>no</v>
      </c>
      <c r="V141" s="4" t="str">
        <f aca="false">IF(N141&gt;1,"YES","no")</f>
        <v>no</v>
      </c>
    </row>
    <row r="142" customFormat="false" ht="15" hidden="false" customHeight="false" outlineLevel="0" collapsed="false">
      <c r="A142" s="4" t="s">
        <v>225</v>
      </c>
      <c r="B142" s="4"/>
      <c r="C142" s="4" t="s">
        <v>61</v>
      </c>
      <c r="D142" s="8" t="n">
        <v>111.01993</v>
      </c>
      <c r="E142" s="9" t="n">
        <v>7.507</v>
      </c>
      <c r="F142" s="10" t="n">
        <v>2819249.9337095</v>
      </c>
      <c r="G142" s="10" t="n">
        <v>957568.112246836</v>
      </c>
      <c r="H142" s="10" t="n">
        <v>4104525.47126744</v>
      </c>
      <c r="I142" s="10" t="n">
        <v>1154925.6252627</v>
      </c>
      <c r="J142" s="10" t="n">
        <v>3461887.70248847</v>
      </c>
      <c r="K142" s="11" t="n">
        <v>1.45589272600135</v>
      </c>
      <c r="L142" s="11" t="n">
        <v>0.541904057894147</v>
      </c>
      <c r="M142" s="11" t="n">
        <v>0.552928178502531</v>
      </c>
      <c r="N142" s="11" t="n">
        <v>0.284177630357143</v>
      </c>
      <c r="O142" s="12" t="n">
        <v>0.0631744434628357</v>
      </c>
      <c r="P142" s="12" t="n">
        <v>0.172868249839214</v>
      </c>
      <c r="Q142" s="4" t="n">
        <f aca="false">RANK(N142,$N$7:$N$307,0)</f>
        <v>136</v>
      </c>
      <c r="R142" s="4" t="n">
        <f aca="false">RANK(O142,$O$7:$O$307,1)</f>
        <v>110</v>
      </c>
      <c r="S142" s="4" t="n">
        <f aca="false">RANK(J142,$J$7:$J$307,0)</f>
        <v>117</v>
      </c>
      <c r="T142" s="4" t="str">
        <f aca="false">IF(O142&lt;0.05,"YES","no")</f>
        <v>no</v>
      </c>
      <c r="U142" s="4" t="str">
        <f aca="false">IF(P142&lt;0.05,"YES","no")</f>
        <v>no</v>
      </c>
      <c r="V142" s="4" t="str">
        <f aca="false">IF(N142&gt;1,"YES","no")</f>
        <v>no</v>
      </c>
    </row>
    <row r="143" customFormat="false" ht="15" hidden="false" customHeight="false" outlineLevel="0" collapsed="false">
      <c r="A143" s="4" t="s">
        <v>226</v>
      </c>
      <c r="B143" s="4"/>
      <c r="C143" s="4" t="s">
        <v>61</v>
      </c>
      <c r="D143" s="8" t="n">
        <v>786.16461</v>
      </c>
      <c r="E143" s="9" t="n">
        <v>7.79</v>
      </c>
      <c r="F143" s="10" t="n">
        <v>1361614.16071545</v>
      </c>
      <c r="G143" s="10" t="n">
        <v>442159.765757252</v>
      </c>
      <c r="H143" s="10" t="n">
        <v>2447574.88783527</v>
      </c>
      <c r="I143" s="10" t="n">
        <v>1018470.17265367</v>
      </c>
      <c r="J143" s="10" t="n">
        <v>1904594.52427536</v>
      </c>
      <c r="K143" s="11" t="n">
        <v>1.79755393154049</v>
      </c>
      <c r="L143" s="11" t="n">
        <v>0.846035056115919</v>
      </c>
      <c r="M143" s="11" t="n">
        <v>0.603875088580523</v>
      </c>
      <c r="N143" s="11" t="n">
        <v>0.272488096897011</v>
      </c>
      <c r="O143" s="12" t="n">
        <v>0.0486784176822001</v>
      </c>
      <c r="P143" s="12" t="n">
        <v>0.16280226358158</v>
      </c>
      <c r="Q143" s="4" t="n">
        <f aca="false">RANK(N143,$N$7:$N$307,0)</f>
        <v>137</v>
      </c>
      <c r="R143" s="4" t="n">
        <f aca="false">RANK(O143,$O$7:$O$307,1)</f>
        <v>90</v>
      </c>
      <c r="S143" s="4" t="n">
        <f aca="false">RANK(J143,$J$7:$J$307,0)</f>
        <v>144</v>
      </c>
      <c r="T143" s="4" t="str">
        <f aca="false">IF(O143&lt;0.05,"YES","no")</f>
        <v>YES</v>
      </c>
      <c r="U143" s="4" t="str">
        <f aca="false">IF(P143&lt;0.05,"YES","no")</f>
        <v>no</v>
      </c>
      <c r="V143" s="4" t="str">
        <f aca="false">IF(N143&gt;1,"YES","no")</f>
        <v>no</v>
      </c>
    </row>
    <row r="144" customFormat="false" ht="15" hidden="false" customHeight="false" outlineLevel="0" collapsed="false">
      <c r="A144" s="4" t="s">
        <v>227</v>
      </c>
      <c r="B144" s="4" t="s">
        <v>228</v>
      </c>
      <c r="C144" s="4" t="s">
        <v>72</v>
      </c>
      <c r="D144" s="8" t="n">
        <v>399.14458</v>
      </c>
      <c r="E144" s="9" t="n">
        <v>13.827</v>
      </c>
      <c r="F144" s="10" t="n">
        <v>3667856.78453756</v>
      </c>
      <c r="G144" s="10" t="n">
        <v>1853319.67780294</v>
      </c>
      <c r="H144" s="10" t="n">
        <v>4210982.10308536</v>
      </c>
      <c r="I144" s="10" t="n">
        <v>1137953.17898849</v>
      </c>
      <c r="J144" s="10" t="n">
        <v>3939419.44381146</v>
      </c>
      <c r="K144" s="11" t="n">
        <v>1.14807702439131</v>
      </c>
      <c r="L144" s="11" t="n">
        <v>0.199219435549905</v>
      </c>
      <c r="M144" s="11" t="n">
        <v>0.189924036794658</v>
      </c>
      <c r="N144" s="11" t="n">
        <v>0.268289393259191</v>
      </c>
      <c r="O144" s="12" t="n">
        <v>0.557098112120526</v>
      </c>
      <c r="P144" s="12" t="n">
        <v>0.681652568082433</v>
      </c>
      <c r="Q144" s="4" t="n">
        <f aca="false">RANK(N144,$N$7:$N$307,0)</f>
        <v>138</v>
      </c>
      <c r="R144" s="4" t="n">
        <f aca="false">RANK(O144,$O$7:$O$307,1)</f>
        <v>246</v>
      </c>
      <c r="S144" s="4" t="n">
        <f aca="false">RANK(J144,$J$7:$J$307,0)</f>
        <v>111</v>
      </c>
      <c r="T144" s="4" t="str">
        <f aca="false">IF(O144&lt;0.05,"YES","no")</f>
        <v>no</v>
      </c>
      <c r="U144" s="4" t="str">
        <f aca="false">IF(P144&lt;0.05,"YES","no")</f>
        <v>no</v>
      </c>
      <c r="V144" s="4" t="str">
        <f aca="false">IF(N144&gt;1,"YES","no")</f>
        <v>no</v>
      </c>
    </row>
    <row r="145" customFormat="false" ht="15" hidden="false" customHeight="false" outlineLevel="0" collapsed="false">
      <c r="A145" s="4" t="s">
        <v>229</v>
      </c>
      <c r="B145" s="4"/>
      <c r="C145" s="4" t="s">
        <v>61</v>
      </c>
      <c r="D145" s="8" t="n">
        <v>259.02211</v>
      </c>
      <c r="E145" s="9" t="n">
        <v>10.095</v>
      </c>
      <c r="F145" s="10" t="n">
        <v>2271667.85718529</v>
      </c>
      <c r="G145" s="10" t="n">
        <v>2082200.20461868</v>
      </c>
      <c r="H145" s="10" t="n">
        <v>3050876.6481648</v>
      </c>
      <c r="I145" s="10" t="n">
        <v>719713.972217887</v>
      </c>
      <c r="J145" s="10" t="n">
        <v>2661272.25267504</v>
      </c>
      <c r="K145" s="11" t="n">
        <v>1.34301176050665</v>
      </c>
      <c r="L145" s="11" t="n">
        <v>0.425471938235451</v>
      </c>
      <c r="M145" s="11" t="n">
        <v>0.264231051341441</v>
      </c>
      <c r="N145" s="11" t="n">
        <v>0.267521526230688</v>
      </c>
      <c r="O145" s="12" t="n">
        <v>0.418662325720645</v>
      </c>
      <c r="P145" s="12" t="n">
        <v>0.560627692534966</v>
      </c>
      <c r="Q145" s="4" t="n">
        <f aca="false">RANK(N145,$N$7:$N$307,0)</f>
        <v>139</v>
      </c>
      <c r="R145" s="4" t="n">
        <f aca="false">RANK(O145,$O$7:$O$307,1)</f>
        <v>224</v>
      </c>
      <c r="S145" s="4" t="n">
        <f aca="false">RANK(J145,$J$7:$J$307,0)</f>
        <v>126</v>
      </c>
      <c r="T145" s="4" t="str">
        <f aca="false">IF(O145&lt;0.05,"YES","no")</f>
        <v>no</v>
      </c>
      <c r="U145" s="4" t="str">
        <f aca="false">IF(P145&lt;0.05,"YES","no")</f>
        <v>no</v>
      </c>
      <c r="V145" s="4" t="str">
        <f aca="false">IF(N145&gt;1,"YES","no")</f>
        <v>no</v>
      </c>
    </row>
    <row r="146" customFormat="false" ht="15" hidden="false" customHeight="false" outlineLevel="0" collapsed="false">
      <c r="A146" s="4" t="s">
        <v>230</v>
      </c>
      <c r="B146" s="4"/>
      <c r="C146" s="4" t="s">
        <v>61</v>
      </c>
      <c r="D146" s="8" t="n">
        <v>175.02481</v>
      </c>
      <c r="E146" s="9" t="n">
        <v>10.321</v>
      </c>
      <c r="F146" s="10" t="n">
        <v>708388.093330005</v>
      </c>
      <c r="G146" s="10" t="n">
        <v>172443.514840272</v>
      </c>
      <c r="H146" s="10" t="n">
        <v>1262090.40366684</v>
      </c>
      <c r="I146" s="10" t="n">
        <v>408573.021490305</v>
      </c>
      <c r="J146" s="10" t="n">
        <v>985239.248498423</v>
      </c>
      <c r="K146" s="11" t="n">
        <v>1.78163695232931</v>
      </c>
      <c r="L146" s="11" t="n">
        <v>0.833203385998437</v>
      </c>
      <c r="M146" s="11" t="n">
        <v>0.695193837569888</v>
      </c>
      <c r="N146" s="11" t="n">
        <v>0.262971502043183</v>
      </c>
      <c r="O146" s="12" t="n">
        <v>0.0192942416868818</v>
      </c>
      <c r="P146" s="12" t="n">
        <v>0.0983079278637452</v>
      </c>
      <c r="Q146" s="4" t="n">
        <f aca="false">RANK(N146,$N$7:$N$307,0)</f>
        <v>140</v>
      </c>
      <c r="R146" s="4" t="n">
        <f aca="false">RANK(O146,$O$7:$O$307,1)</f>
        <v>57</v>
      </c>
      <c r="S146" s="4" t="n">
        <f aca="false">RANK(J146,$J$7:$J$307,0)</f>
        <v>172</v>
      </c>
      <c r="T146" s="4" t="str">
        <f aca="false">IF(O146&lt;0.05,"YES","no")</f>
        <v>YES</v>
      </c>
      <c r="U146" s="4" t="str">
        <f aca="false">IF(P146&lt;0.05,"YES","no")</f>
        <v>no</v>
      </c>
      <c r="V146" s="4" t="str">
        <f aca="false">IF(N146&gt;1,"YES","no")</f>
        <v>no</v>
      </c>
    </row>
    <row r="147" customFormat="false" ht="15" hidden="false" customHeight="false" outlineLevel="0" collapsed="false">
      <c r="A147" s="4" t="s">
        <v>231</v>
      </c>
      <c r="B147" s="4"/>
      <c r="C147" s="4" t="s">
        <v>72</v>
      </c>
      <c r="D147" s="8" t="n">
        <v>324.09337</v>
      </c>
      <c r="E147" s="9" t="n">
        <v>9.448</v>
      </c>
      <c r="F147" s="10" t="n">
        <v>966077.577878918</v>
      </c>
      <c r="G147" s="10" t="n">
        <v>385125.560656411</v>
      </c>
      <c r="H147" s="10" t="n">
        <v>2070212.69334396</v>
      </c>
      <c r="I147" s="10" t="n">
        <v>1337902.81293513</v>
      </c>
      <c r="J147" s="10" t="n">
        <v>1518145.13561144</v>
      </c>
      <c r="K147" s="11" t="n">
        <v>2.14290522909065</v>
      </c>
      <c r="L147" s="11" t="n">
        <v>1.09956804761396</v>
      </c>
      <c r="M147" s="11" t="n">
        <v>0.523432371265377</v>
      </c>
      <c r="N147" s="11" t="n">
        <v>0.262418204499294</v>
      </c>
      <c r="O147" s="12" t="n">
        <v>0.101544910332075</v>
      </c>
      <c r="P147" s="12" t="n">
        <v>0.23289102067379</v>
      </c>
      <c r="Q147" s="4" t="n">
        <f aca="false">RANK(N147,$N$7:$N$307,0)</f>
        <v>141</v>
      </c>
      <c r="R147" s="4" t="n">
        <f aca="false">RANK(O147,$O$7:$O$307,1)</f>
        <v>131</v>
      </c>
      <c r="S147" s="4" t="n">
        <f aca="false">RANK(J147,$J$7:$J$307,0)</f>
        <v>154</v>
      </c>
      <c r="T147" s="4" t="str">
        <f aca="false">IF(O147&lt;0.05,"YES","no")</f>
        <v>no</v>
      </c>
      <c r="U147" s="4" t="str">
        <f aca="false">IF(P147&lt;0.05,"YES","no")</f>
        <v>no</v>
      </c>
      <c r="V147" s="4" t="str">
        <f aca="false">IF(N147&gt;1,"YES","no")</f>
        <v>no</v>
      </c>
    </row>
    <row r="148" customFormat="false" ht="15" hidden="false" customHeight="false" outlineLevel="0" collapsed="false">
      <c r="A148" s="4" t="s">
        <v>232</v>
      </c>
      <c r="B148" s="4" t="s">
        <v>233</v>
      </c>
      <c r="C148" s="4" t="s">
        <v>61</v>
      </c>
      <c r="D148" s="8" t="n">
        <v>152.05666</v>
      </c>
      <c r="E148" s="9" t="n">
        <v>10.281</v>
      </c>
      <c r="F148" s="10" t="n">
        <v>2784327.43849102</v>
      </c>
      <c r="G148" s="10" t="n">
        <v>704345.501793473</v>
      </c>
      <c r="H148" s="10" t="n">
        <v>3701433.07301073</v>
      </c>
      <c r="I148" s="10" t="n">
        <v>409838.92212733</v>
      </c>
      <c r="J148" s="10" t="n">
        <v>3242880.25575088</v>
      </c>
      <c r="K148" s="11" t="n">
        <v>1.32938138734744</v>
      </c>
      <c r="L148" s="11" t="n">
        <v>0.410755059994007</v>
      </c>
      <c r="M148" s="11" t="n">
        <v>0.657112481308386</v>
      </c>
      <c r="N148" s="11" t="n">
        <v>0.26234978262824</v>
      </c>
      <c r="O148" s="12" t="n">
        <v>0.0246914572392982</v>
      </c>
      <c r="P148" s="12" t="n">
        <v>0.112180612798359</v>
      </c>
      <c r="Q148" s="4" t="n">
        <f aca="false">RANK(N148,$N$7:$N$307,0)</f>
        <v>142</v>
      </c>
      <c r="R148" s="4" t="n">
        <f aca="false">RANK(O148,$O$7:$O$307,1)</f>
        <v>66</v>
      </c>
      <c r="S148" s="4" t="n">
        <f aca="false">RANK(J148,$J$7:$J$307,0)</f>
        <v>119</v>
      </c>
      <c r="T148" s="4" t="str">
        <f aca="false">IF(O148&lt;0.05,"YES","no")</f>
        <v>YES</v>
      </c>
      <c r="U148" s="4" t="str">
        <f aca="false">IF(P148&lt;0.05,"YES","no")</f>
        <v>no</v>
      </c>
      <c r="V148" s="4" t="str">
        <f aca="false">IF(N148&gt;1,"YES","no")</f>
        <v>no</v>
      </c>
    </row>
    <row r="149" customFormat="false" ht="15" hidden="false" customHeight="false" outlineLevel="0" collapsed="false">
      <c r="A149" s="4" t="s">
        <v>234</v>
      </c>
      <c r="B149" s="4"/>
      <c r="C149" s="4" t="s">
        <v>61</v>
      </c>
      <c r="D149" s="8" t="n">
        <v>159.03002</v>
      </c>
      <c r="E149" s="9" t="n">
        <v>8.888</v>
      </c>
      <c r="F149" s="10" t="n">
        <v>928171.923661667</v>
      </c>
      <c r="G149" s="10" t="n">
        <v>744975.293808511</v>
      </c>
      <c r="H149" s="10" t="n">
        <v>740676.429191007</v>
      </c>
      <c r="I149" s="10" t="n">
        <v>305572.814774867</v>
      </c>
      <c r="J149" s="10" t="n">
        <v>834424.176426337</v>
      </c>
      <c r="K149" s="11" t="n">
        <v>0.797994865292861</v>
      </c>
      <c r="L149" s="11" t="n">
        <v>-0.32554863144771</v>
      </c>
      <c r="M149" s="11" t="n">
        <v>0.177502939391239</v>
      </c>
      <c r="N149" s="11" t="n">
        <v>0.258907544529436</v>
      </c>
      <c r="O149" s="12" t="n">
        <v>0.587207698709274</v>
      </c>
      <c r="P149" s="12" t="n">
        <v>0.701386973458299</v>
      </c>
      <c r="Q149" s="4" t="n">
        <f aca="false">RANK(N149,$N$7:$N$307,0)</f>
        <v>143</v>
      </c>
      <c r="R149" s="4" t="n">
        <f aca="false">RANK(O149,$O$7:$O$307,1)</f>
        <v>252</v>
      </c>
      <c r="S149" s="4" t="n">
        <f aca="false">RANK(J149,$J$7:$J$307,0)</f>
        <v>178</v>
      </c>
      <c r="T149" s="4" t="str">
        <f aca="false">IF(O149&lt;0.05,"YES","no")</f>
        <v>no</v>
      </c>
      <c r="U149" s="4" t="str">
        <f aca="false">IF(P149&lt;0.05,"YES","no")</f>
        <v>no</v>
      </c>
      <c r="V149" s="4" t="str">
        <f aca="false">IF(N149&gt;1,"YES","no")</f>
        <v>no</v>
      </c>
    </row>
    <row r="150" customFormat="false" ht="15" hidden="false" customHeight="false" outlineLevel="0" collapsed="false">
      <c r="A150" s="4" t="s">
        <v>235</v>
      </c>
      <c r="B150" s="4"/>
      <c r="C150" s="4" t="s">
        <v>72</v>
      </c>
      <c r="D150" s="8" t="n">
        <v>204.08668</v>
      </c>
      <c r="E150" s="9" t="n">
        <v>8.886</v>
      </c>
      <c r="F150" s="10" t="n">
        <v>1275660.85986908</v>
      </c>
      <c r="G150" s="10" t="n">
        <v>405968.654744438</v>
      </c>
      <c r="H150" s="10" t="n">
        <v>1971772.46101985</v>
      </c>
      <c r="I150" s="10" t="n">
        <v>174619.60667297</v>
      </c>
      <c r="J150" s="10" t="n">
        <v>1623716.66044447</v>
      </c>
      <c r="K150" s="11" t="n">
        <v>1.54568704194797</v>
      </c>
      <c r="L150" s="11" t="n">
        <v>0.628248243755058</v>
      </c>
      <c r="M150" s="11" t="n">
        <v>0.773421232578196</v>
      </c>
      <c r="N150" s="11" t="n">
        <v>0.253074956469681</v>
      </c>
      <c r="O150" s="12" t="n">
        <v>0.00660269804685761</v>
      </c>
      <c r="P150" s="12" t="n">
        <v>0.0807692088686714</v>
      </c>
      <c r="Q150" s="4" t="n">
        <f aca="false">RANK(N150,$N$7:$N$307,0)</f>
        <v>144</v>
      </c>
      <c r="R150" s="4" t="n">
        <f aca="false">RANK(O150,$O$7:$O$307,1)</f>
        <v>21</v>
      </c>
      <c r="S150" s="4" t="n">
        <f aca="false">RANK(J150,$J$7:$J$307,0)</f>
        <v>151</v>
      </c>
      <c r="T150" s="4" t="str">
        <f aca="false">IF(O150&lt;0.05,"YES","no")</f>
        <v>YES</v>
      </c>
      <c r="U150" s="4" t="str">
        <f aca="false">IF(P150&lt;0.05,"YES","no")</f>
        <v>no</v>
      </c>
      <c r="V150" s="4" t="str">
        <f aca="false">IF(N150&gt;1,"YES","no")</f>
        <v>no</v>
      </c>
    </row>
    <row r="151" customFormat="false" ht="15" hidden="false" customHeight="false" outlineLevel="0" collapsed="false">
      <c r="A151" s="4" t="s">
        <v>236</v>
      </c>
      <c r="B151" s="4"/>
      <c r="C151" s="4" t="s">
        <v>72</v>
      </c>
      <c r="D151" s="8" t="n">
        <v>664.11878</v>
      </c>
      <c r="E151" s="9" t="n">
        <v>8.315</v>
      </c>
      <c r="F151" s="10" t="n">
        <v>350812.026450899</v>
      </c>
      <c r="G151" s="10" t="n">
        <v>516850.163722829</v>
      </c>
      <c r="H151" s="10" t="n">
        <v>181328.721526566</v>
      </c>
      <c r="I151" s="10" t="n">
        <v>79615.4006296686</v>
      </c>
      <c r="J151" s="10" t="n">
        <v>266070.373988733</v>
      </c>
      <c r="K151" s="11" t="n">
        <v>0.516882854219781</v>
      </c>
      <c r="L151" s="11" t="n">
        <v>-0.952090748169909</v>
      </c>
      <c r="M151" s="11" t="n">
        <v>0.24348626199724</v>
      </c>
      <c r="N151" s="11" t="n">
        <v>0.246697535613505</v>
      </c>
      <c r="O151" s="12" t="n">
        <v>0.461715212306379</v>
      </c>
      <c r="P151" s="12" t="n">
        <v>0.604244690887913</v>
      </c>
      <c r="Q151" s="4" t="n">
        <f aca="false">RANK(N151,$N$7:$N$307,0)</f>
        <v>145</v>
      </c>
      <c r="R151" s="4" t="n">
        <f aca="false">RANK(O151,$O$7:$O$307,1)</f>
        <v>230</v>
      </c>
      <c r="S151" s="4" t="n">
        <f aca="false">RANK(J151,$J$7:$J$307,0)</f>
        <v>240</v>
      </c>
      <c r="T151" s="4" t="str">
        <f aca="false">IF(O151&lt;0.05,"YES","no")</f>
        <v>no</v>
      </c>
      <c r="U151" s="4" t="str">
        <f aca="false">IF(P151&lt;0.05,"YES","no")</f>
        <v>no</v>
      </c>
      <c r="V151" s="4" t="str">
        <f aca="false">IF(N151&gt;1,"YES","no")</f>
        <v>no</v>
      </c>
    </row>
    <row r="152" customFormat="false" ht="15" hidden="false" customHeight="false" outlineLevel="0" collapsed="false">
      <c r="A152" s="4" t="s">
        <v>237</v>
      </c>
      <c r="B152" s="4"/>
      <c r="C152" s="4" t="s">
        <v>72</v>
      </c>
      <c r="D152" s="8" t="n">
        <v>303.23251</v>
      </c>
      <c r="E152" s="9" t="n">
        <v>3.641</v>
      </c>
      <c r="F152" s="10" t="n">
        <v>2163365.91111275</v>
      </c>
      <c r="G152" s="10" t="n">
        <v>1611840.78948105</v>
      </c>
      <c r="H152" s="10" t="n">
        <v>2982461.14851694</v>
      </c>
      <c r="I152" s="10" t="n">
        <v>1766446.23393902</v>
      </c>
      <c r="J152" s="10" t="n">
        <v>2572913.52981484</v>
      </c>
      <c r="K152" s="11" t="n">
        <v>1.37862075629308</v>
      </c>
      <c r="L152" s="11" t="n">
        <v>0.463225641577377</v>
      </c>
      <c r="M152" s="11" t="n">
        <v>0.256449534067341</v>
      </c>
      <c r="N152" s="11" t="n">
        <v>0.237951378416263</v>
      </c>
      <c r="O152" s="12" t="n">
        <v>0.421219781537752</v>
      </c>
      <c r="P152" s="12" t="n">
        <v>0.561005107269306</v>
      </c>
      <c r="Q152" s="4" t="n">
        <f aca="false">RANK(N152,$N$7:$N$307,0)</f>
        <v>146</v>
      </c>
      <c r="R152" s="4" t="n">
        <f aca="false">RANK(O152,$O$7:$O$307,1)</f>
        <v>226</v>
      </c>
      <c r="S152" s="4" t="n">
        <f aca="false">RANK(J152,$J$7:$J$307,0)</f>
        <v>129</v>
      </c>
      <c r="T152" s="4" t="str">
        <f aca="false">IF(O152&lt;0.05,"YES","no")</f>
        <v>no</v>
      </c>
      <c r="U152" s="4" t="str">
        <f aca="false">IF(P152&lt;0.05,"YES","no")</f>
        <v>no</v>
      </c>
      <c r="V152" s="4" t="str">
        <f aca="false">IF(N152&gt;1,"YES","no")</f>
        <v>no</v>
      </c>
    </row>
    <row r="153" customFormat="false" ht="15" hidden="false" customHeight="false" outlineLevel="0" collapsed="false">
      <c r="A153" s="4" t="s">
        <v>238</v>
      </c>
      <c r="B153" s="4" t="s">
        <v>239</v>
      </c>
      <c r="C153" s="4" t="s">
        <v>72</v>
      </c>
      <c r="D153" s="8" t="n">
        <v>271.22774</v>
      </c>
      <c r="E153" s="9" t="n">
        <v>3.836</v>
      </c>
      <c r="F153" s="10" t="n">
        <v>5808049.02795471</v>
      </c>
      <c r="G153" s="10" t="n">
        <v>1869617.05590586</v>
      </c>
      <c r="H153" s="10" t="n">
        <v>6690035.43158926</v>
      </c>
      <c r="I153" s="10" t="n">
        <v>1668769.54255158</v>
      </c>
      <c r="J153" s="10" t="n">
        <v>6249042.22977199</v>
      </c>
      <c r="K153" s="11" t="n">
        <v>1.15185588127605</v>
      </c>
      <c r="L153" s="11" t="n">
        <v>0.203960219926836</v>
      </c>
      <c r="M153" s="11" t="n">
        <v>0.263016000227024</v>
      </c>
      <c r="N153" s="11" t="n">
        <v>0.233980277086991</v>
      </c>
      <c r="O153" s="12" t="n">
        <v>0.409091745072056</v>
      </c>
      <c r="P153" s="12" t="n">
        <v>0.559711887575858</v>
      </c>
      <c r="Q153" s="4" t="n">
        <f aca="false">RANK(N153,$N$7:$N$307,0)</f>
        <v>147</v>
      </c>
      <c r="R153" s="4" t="n">
        <f aca="false">RANK(O153,$O$7:$O$307,1)</f>
        <v>220</v>
      </c>
      <c r="S153" s="4" t="n">
        <f aca="false">RANK(J153,$J$7:$J$307,0)</f>
        <v>90</v>
      </c>
      <c r="T153" s="4" t="str">
        <f aca="false">IF(O153&lt;0.05,"YES","no")</f>
        <v>no</v>
      </c>
      <c r="U153" s="4" t="str">
        <f aca="false">IF(P153&lt;0.05,"YES","no")</f>
        <v>no</v>
      </c>
      <c r="V153" s="4" t="str">
        <f aca="false">IF(N153&gt;1,"YES","no")</f>
        <v>no</v>
      </c>
    </row>
    <row r="154" customFormat="false" ht="15" hidden="false" customHeight="false" outlineLevel="0" collapsed="false">
      <c r="A154" s="4" t="s">
        <v>240</v>
      </c>
      <c r="B154" s="4"/>
      <c r="C154" s="4" t="s">
        <v>61</v>
      </c>
      <c r="D154" s="8" t="n">
        <v>300.04881</v>
      </c>
      <c r="E154" s="9" t="n">
        <v>9.663</v>
      </c>
      <c r="F154" s="10" t="n">
        <v>272484.556367315</v>
      </c>
      <c r="G154" s="10" t="n">
        <v>91619.6475448965</v>
      </c>
      <c r="H154" s="10" t="n">
        <v>720550.29613109</v>
      </c>
      <c r="I154" s="10" t="n">
        <v>255329.57986</v>
      </c>
      <c r="J154" s="10" t="n">
        <v>496517.426249202</v>
      </c>
      <c r="K154" s="11" t="n">
        <v>2.64437113698207</v>
      </c>
      <c r="L154" s="11" t="n">
        <v>1.40292467302847</v>
      </c>
      <c r="M154" s="11" t="n">
        <v>0.787890791384333</v>
      </c>
      <c r="N154" s="11" t="n">
        <v>0.231326786540772</v>
      </c>
      <c r="O154" s="12" t="n">
        <v>0.0061710004377617</v>
      </c>
      <c r="P154" s="12" t="n">
        <v>0.0807692088686714</v>
      </c>
      <c r="Q154" s="4" t="n">
        <f aca="false">RANK(N154,$N$7:$N$307,0)</f>
        <v>148</v>
      </c>
      <c r="R154" s="4" t="n">
        <f aca="false">RANK(O154,$O$7:$O$307,1)</f>
        <v>19</v>
      </c>
      <c r="S154" s="4" t="n">
        <f aca="false">RANK(J154,$J$7:$J$307,0)</f>
        <v>203</v>
      </c>
      <c r="T154" s="4" t="str">
        <f aca="false">IF(O154&lt;0.05,"YES","no")</f>
        <v>YES</v>
      </c>
      <c r="U154" s="4" t="str">
        <f aca="false">IF(P154&lt;0.05,"YES","no")</f>
        <v>no</v>
      </c>
      <c r="V154" s="4" t="str">
        <f aca="false">IF(N154&gt;1,"YES","no")</f>
        <v>no</v>
      </c>
    </row>
    <row r="155" customFormat="false" ht="15" hidden="false" customHeight="false" outlineLevel="0" collapsed="false">
      <c r="A155" s="4" t="s">
        <v>241</v>
      </c>
      <c r="B155" s="4"/>
      <c r="C155" s="4" t="s">
        <v>72</v>
      </c>
      <c r="D155" s="8" t="n">
        <v>189.14845</v>
      </c>
      <c r="E155" s="9" t="n">
        <v>5.023</v>
      </c>
      <c r="F155" s="10" t="n">
        <v>1030992.38582233</v>
      </c>
      <c r="G155" s="10" t="n">
        <v>365500.949230032</v>
      </c>
      <c r="H155" s="10" t="n">
        <v>1378588.80767337</v>
      </c>
      <c r="I155" s="10" t="n">
        <v>165555.273345761</v>
      </c>
      <c r="J155" s="10" t="n">
        <v>1204790.59674785</v>
      </c>
      <c r="K155" s="11" t="n">
        <v>1.33714741896352</v>
      </c>
      <c r="L155" s="11" t="n">
        <v>0.419158529667073</v>
      </c>
      <c r="M155" s="11" t="n">
        <v>0.557203153678568</v>
      </c>
      <c r="N155" s="11" t="n">
        <v>0.22990811793693</v>
      </c>
      <c r="O155" s="12" t="n">
        <v>0.0716891454955292</v>
      </c>
      <c r="P155" s="12" t="n">
        <v>0.186020972363399</v>
      </c>
      <c r="Q155" s="4" t="n">
        <f aca="false">RANK(N155,$N$7:$N$307,0)</f>
        <v>149</v>
      </c>
      <c r="R155" s="4" t="n">
        <f aca="false">RANK(O155,$O$7:$O$307,1)</f>
        <v>116</v>
      </c>
      <c r="S155" s="4" t="n">
        <f aca="false">RANK(J155,$J$7:$J$307,0)</f>
        <v>165</v>
      </c>
      <c r="T155" s="4" t="str">
        <f aca="false">IF(O155&lt;0.05,"YES","no")</f>
        <v>no</v>
      </c>
      <c r="U155" s="4" t="str">
        <f aca="false">IF(P155&lt;0.05,"YES","no")</f>
        <v>no</v>
      </c>
      <c r="V155" s="4" t="str">
        <f aca="false">IF(N155&gt;1,"YES","no")</f>
        <v>no</v>
      </c>
    </row>
    <row r="156" customFormat="false" ht="15" hidden="false" customHeight="false" outlineLevel="0" collapsed="false">
      <c r="A156" s="4" t="s">
        <v>242</v>
      </c>
      <c r="B156" s="4" t="s">
        <v>243</v>
      </c>
      <c r="C156" s="4" t="s">
        <v>72</v>
      </c>
      <c r="D156" s="8" t="n">
        <v>170.09233</v>
      </c>
      <c r="E156" s="9" t="n">
        <v>11.892</v>
      </c>
      <c r="F156" s="10" t="n">
        <v>3905107.32765411</v>
      </c>
      <c r="G156" s="10" t="n">
        <v>2623264.44571698</v>
      </c>
      <c r="H156" s="10" t="n">
        <v>3507000.04561329</v>
      </c>
      <c r="I156" s="10" t="n">
        <v>3357254.07732217</v>
      </c>
      <c r="J156" s="10" t="n">
        <v>3706053.6866337</v>
      </c>
      <c r="K156" s="11" t="n">
        <v>0.898054714342521</v>
      </c>
      <c r="L156" s="11" t="n">
        <v>-0.155124750471092</v>
      </c>
      <c r="M156" s="11" t="n">
        <v>0.0721889804058534</v>
      </c>
      <c r="N156" s="11" t="n">
        <v>0.226884843562578</v>
      </c>
      <c r="O156" s="12" t="n">
        <v>0.823841190533775</v>
      </c>
      <c r="P156" s="12" t="n">
        <v>0.88247757420166</v>
      </c>
      <c r="Q156" s="4" t="n">
        <f aca="false">RANK(N156,$N$7:$N$307,0)</f>
        <v>150</v>
      </c>
      <c r="R156" s="4" t="n">
        <f aca="false">RANK(O156,$O$7:$O$307,1)</f>
        <v>281</v>
      </c>
      <c r="S156" s="4" t="n">
        <f aca="false">RANK(J156,$J$7:$J$307,0)</f>
        <v>113</v>
      </c>
      <c r="T156" s="4" t="str">
        <f aca="false">IF(O156&lt;0.05,"YES","no")</f>
        <v>no</v>
      </c>
      <c r="U156" s="4" t="str">
        <f aca="false">IF(P156&lt;0.05,"YES","no")</f>
        <v>no</v>
      </c>
      <c r="V156" s="4" t="str">
        <f aca="false">IF(N156&gt;1,"YES","no")</f>
        <v>no</v>
      </c>
    </row>
    <row r="157" customFormat="false" ht="15" hidden="false" customHeight="false" outlineLevel="0" collapsed="false">
      <c r="A157" s="4" t="s">
        <v>244</v>
      </c>
      <c r="B157" s="4"/>
      <c r="C157" s="4" t="s">
        <v>72</v>
      </c>
      <c r="D157" s="8" t="n">
        <v>204.08663</v>
      </c>
      <c r="E157" s="9" t="n">
        <v>9.532</v>
      </c>
      <c r="F157" s="10" t="n">
        <v>612360.012855349</v>
      </c>
      <c r="G157" s="10" t="n">
        <v>178257.488505761</v>
      </c>
      <c r="H157" s="10" t="n">
        <v>1010538.55741375</v>
      </c>
      <c r="I157" s="10" t="n">
        <v>288673.769215246</v>
      </c>
      <c r="J157" s="10" t="n">
        <v>811449.285134547</v>
      </c>
      <c r="K157" s="11" t="n">
        <v>1.65023603141842</v>
      </c>
      <c r="L157" s="11" t="n">
        <v>0.722672386291391</v>
      </c>
      <c r="M157" s="11" t="n">
        <v>0.672666762848587</v>
      </c>
      <c r="N157" s="11" t="n">
        <v>0.225316683766184</v>
      </c>
      <c r="O157" s="12" t="n">
        <v>0.0198329126850747</v>
      </c>
      <c r="P157" s="12" t="n">
        <v>0.0983079278637452</v>
      </c>
      <c r="Q157" s="4" t="n">
        <f aca="false">RANK(N157,$N$7:$N$307,0)</f>
        <v>151</v>
      </c>
      <c r="R157" s="4" t="n">
        <f aca="false">RANK(O157,$O$7:$O$307,1)</f>
        <v>59</v>
      </c>
      <c r="S157" s="4" t="n">
        <f aca="false">RANK(J157,$J$7:$J$307,0)</f>
        <v>180</v>
      </c>
      <c r="T157" s="4" t="str">
        <f aca="false">IF(O157&lt;0.05,"YES","no")</f>
        <v>YES</v>
      </c>
      <c r="U157" s="4" t="str">
        <f aca="false">IF(P157&lt;0.05,"YES","no")</f>
        <v>no</v>
      </c>
      <c r="V157" s="4" t="str">
        <f aca="false">IF(N157&gt;1,"YES","no")</f>
        <v>no</v>
      </c>
    </row>
    <row r="158" customFormat="false" ht="15" hidden="false" customHeight="false" outlineLevel="0" collapsed="false">
      <c r="A158" s="4" t="s">
        <v>245</v>
      </c>
      <c r="B158" s="4"/>
      <c r="C158" s="4" t="s">
        <v>61</v>
      </c>
      <c r="D158" s="8" t="n">
        <v>191.01976</v>
      </c>
      <c r="E158" s="9" t="n">
        <v>11.158</v>
      </c>
      <c r="F158" s="10" t="n">
        <v>6643956.44643976</v>
      </c>
      <c r="G158" s="10" t="n">
        <v>4121629.41364274</v>
      </c>
      <c r="H158" s="10" t="n">
        <v>8969640.14156755</v>
      </c>
      <c r="I158" s="10" t="n">
        <v>8270702.44547456</v>
      </c>
      <c r="J158" s="10" t="n">
        <v>7806798.29400365</v>
      </c>
      <c r="K158" s="11" t="n">
        <v>1.35004499410499</v>
      </c>
      <c r="L158" s="11" t="n">
        <v>0.433007490009751</v>
      </c>
      <c r="M158" s="11" t="n">
        <v>0.191345037701154</v>
      </c>
      <c r="N158" s="11" t="n">
        <v>0.224712691321285</v>
      </c>
      <c r="O158" s="12" t="n">
        <v>0.556212367024344</v>
      </c>
      <c r="P158" s="12" t="n">
        <v>0.681652568082433</v>
      </c>
      <c r="Q158" s="4" t="n">
        <f aca="false">RANK(N158,$N$7:$N$307,0)</f>
        <v>152</v>
      </c>
      <c r="R158" s="4" t="n">
        <f aca="false">RANK(O158,$O$7:$O$307,1)</f>
        <v>245</v>
      </c>
      <c r="S158" s="4" t="n">
        <f aca="false">RANK(J158,$J$7:$J$307,0)</f>
        <v>88</v>
      </c>
      <c r="T158" s="4" t="str">
        <f aca="false">IF(O158&lt;0.05,"YES","no")</f>
        <v>no</v>
      </c>
      <c r="U158" s="4" t="str">
        <f aca="false">IF(P158&lt;0.05,"YES","no")</f>
        <v>no</v>
      </c>
      <c r="V158" s="4" t="str">
        <f aca="false">IF(N158&gt;1,"YES","no")</f>
        <v>no</v>
      </c>
    </row>
    <row r="159" customFormat="false" ht="15" hidden="false" customHeight="false" outlineLevel="0" collapsed="false">
      <c r="A159" s="4" t="s">
        <v>246</v>
      </c>
      <c r="B159" s="4"/>
      <c r="C159" s="4" t="s">
        <v>72</v>
      </c>
      <c r="D159" s="8" t="n">
        <v>130.08622</v>
      </c>
      <c r="E159" s="9" t="n">
        <v>9.945</v>
      </c>
      <c r="F159" s="10" t="n">
        <v>2242677.19884111</v>
      </c>
      <c r="G159" s="10" t="n">
        <v>992998.050056694</v>
      </c>
      <c r="H159" s="10" t="n">
        <v>3096944.23277845</v>
      </c>
      <c r="I159" s="10" t="n">
        <v>1045231.80598254</v>
      </c>
      <c r="J159" s="10" t="n">
        <v>2669810.71580978</v>
      </c>
      <c r="K159" s="11" t="n">
        <v>1.38091395158375</v>
      </c>
      <c r="L159" s="11" t="n">
        <v>0.465623424236719</v>
      </c>
      <c r="M159" s="11" t="n">
        <v>0.417136204195898</v>
      </c>
      <c r="N159" s="11" t="n">
        <v>0.223329703594277</v>
      </c>
      <c r="O159" s="12" t="n">
        <v>0.177383543880367</v>
      </c>
      <c r="P159" s="12" t="n">
        <v>0.340079278394843</v>
      </c>
      <c r="Q159" s="4" t="n">
        <f aca="false">RANK(N159,$N$7:$N$307,0)</f>
        <v>153</v>
      </c>
      <c r="R159" s="4" t="n">
        <f aca="false">RANK(O159,$O$7:$O$307,1)</f>
        <v>157</v>
      </c>
      <c r="S159" s="4" t="n">
        <f aca="false">RANK(J159,$J$7:$J$307,0)</f>
        <v>125</v>
      </c>
      <c r="T159" s="4" t="str">
        <f aca="false">IF(O159&lt;0.05,"YES","no")</f>
        <v>no</v>
      </c>
      <c r="U159" s="4" t="str">
        <f aca="false">IF(P159&lt;0.05,"YES","no")</f>
        <v>no</v>
      </c>
      <c r="V159" s="4" t="str">
        <f aca="false">IF(N159&gt;1,"YES","no")</f>
        <v>no</v>
      </c>
    </row>
    <row r="160" customFormat="false" ht="15" hidden="false" customHeight="false" outlineLevel="0" collapsed="false">
      <c r="A160" s="4" t="s">
        <v>247</v>
      </c>
      <c r="B160" s="4" t="s">
        <v>248</v>
      </c>
      <c r="C160" s="4" t="s">
        <v>61</v>
      </c>
      <c r="D160" s="8" t="n">
        <v>145.0143</v>
      </c>
      <c r="E160" s="9" t="n">
        <v>9.217</v>
      </c>
      <c r="F160" s="10" t="n">
        <v>2686087.67563364</v>
      </c>
      <c r="G160" s="10" t="n">
        <v>1515950.15615701</v>
      </c>
      <c r="H160" s="10" t="n">
        <v>2854558.65676393</v>
      </c>
      <c r="I160" s="10" t="n">
        <v>828248.376706281</v>
      </c>
      <c r="J160" s="10" t="n">
        <v>2770323.16619879</v>
      </c>
      <c r="K160" s="11" t="n">
        <v>1.06271983698021</v>
      </c>
      <c r="L160" s="11" t="n">
        <v>0.0877613117584379</v>
      </c>
      <c r="M160" s="11" t="n">
        <v>0.0753283310682009</v>
      </c>
      <c r="N160" s="11" t="n">
        <v>0.215837638635178</v>
      </c>
      <c r="O160" s="12" t="n">
        <v>0.81739523469092</v>
      </c>
      <c r="P160" s="12" t="n">
        <v>0.881849339218519</v>
      </c>
      <c r="Q160" s="4" t="n">
        <f aca="false">RANK(N160,$N$7:$N$307,0)</f>
        <v>154</v>
      </c>
      <c r="R160" s="4" t="n">
        <f aca="false">RANK(O160,$O$7:$O$307,1)</f>
        <v>279</v>
      </c>
      <c r="S160" s="4" t="n">
        <f aca="false">RANK(J160,$J$7:$J$307,0)</f>
        <v>124</v>
      </c>
      <c r="T160" s="4" t="str">
        <f aca="false">IF(O160&lt;0.05,"YES","no")</f>
        <v>no</v>
      </c>
      <c r="U160" s="4" t="str">
        <f aca="false">IF(P160&lt;0.05,"YES","no")</f>
        <v>no</v>
      </c>
      <c r="V160" s="4" t="str">
        <f aca="false">IF(N160&gt;1,"YES","no")</f>
        <v>no</v>
      </c>
    </row>
    <row r="161" customFormat="false" ht="15" hidden="false" customHeight="false" outlineLevel="0" collapsed="false">
      <c r="A161" s="4" t="s">
        <v>249</v>
      </c>
      <c r="B161" s="4" t="s">
        <v>250</v>
      </c>
      <c r="C161" s="4" t="s">
        <v>61</v>
      </c>
      <c r="D161" s="8" t="n">
        <v>298.09695</v>
      </c>
      <c r="E161" s="9" t="n">
        <v>5.465</v>
      </c>
      <c r="F161" s="10" t="n">
        <v>1305459.27737168</v>
      </c>
      <c r="G161" s="10" t="n">
        <v>766482.447206819</v>
      </c>
      <c r="H161" s="10" t="n">
        <v>2054086.97380187</v>
      </c>
      <c r="I161" s="10" t="n">
        <v>838191.017608368</v>
      </c>
      <c r="J161" s="10" t="n">
        <v>1679773.12558677</v>
      </c>
      <c r="K161" s="11" t="n">
        <v>1.57345924871546</v>
      </c>
      <c r="L161" s="11" t="n">
        <v>0.653939814519757</v>
      </c>
      <c r="M161" s="11" t="n">
        <v>0.454713417091592</v>
      </c>
      <c r="N161" s="11" t="n">
        <v>0.212276541976526</v>
      </c>
      <c r="O161" s="12" t="n">
        <v>0.137736961795819</v>
      </c>
      <c r="P161" s="12" t="n">
        <v>0.28554522177727</v>
      </c>
      <c r="Q161" s="4" t="n">
        <f aca="false">RANK(N161,$N$7:$N$307,0)</f>
        <v>155</v>
      </c>
      <c r="R161" s="4" t="n">
        <f aca="false">RANK(O161,$O$7:$O$307,1)</f>
        <v>144</v>
      </c>
      <c r="S161" s="4" t="n">
        <f aca="false">RANK(J161,$J$7:$J$307,0)</f>
        <v>149</v>
      </c>
      <c r="T161" s="4" t="str">
        <f aca="false">IF(O161&lt;0.05,"YES","no")</f>
        <v>no</v>
      </c>
      <c r="U161" s="4" t="str">
        <f aca="false">IF(P161&lt;0.05,"YES","no")</f>
        <v>no</v>
      </c>
      <c r="V161" s="4" t="str">
        <f aca="false">IF(N161&gt;1,"YES","no")</f>
        <v>no</v>
      </c>
    </row>
    <row r="162" customFormat="false" ht="15" hidden="false" customHeight="false" outlineLevel="0" collapsed="false">
      <c r="A162" s="4" t="s">
        <v>251</v>
      </c>
      <c r="B162" s="4"/>
      <c r="C162" s="4" t="s">
        <v>61</v>
      </c>
      <c r="D162" s="8" t="n">
        <v>261.03698</v>
      </c>
      <c r="E162" s="9" t="n">
        <v>10.336</v>
      </c>
      <c r="F162" s="10" t="n">
        <v>2525385.61787061</v>
      </c>
      <c r="G162" s="10" t="n">
        <v>1864735.64258722</v>
      </c>
      <c r="H162" s="10" t="n">
        <v>3382344.72156568</v>
      </c>
      <c r="I162" s="10" t="n">
        <v>1198748.77108496</v>
      </c>
      <c r="J162" s="10" t="n">
        <v>2953865.16971814</v>
      </c>
      <c r="K162" s="11" t="n">
        <v>1.33933792036784</v>
      </c>
      <c r="L162" s="11" t="n">
        <v>0.421520004375885</v>
      </c>
      <c r="M162" s="11" t="n">
        <v>0.286854362934625</v>
      </c>
      <c r="N162" s="11" t="n">
        <v>0.211480623190466</v>
      </c>
      <c r="O162" s="12" t="n">
        <v>0.369736461485984</v>
      </c>
      <c r="P162" s="12" t="n">
        <v>0.529955594796578</v>
      </c>
      <c r="Q162" s="4" t="n">
        <f aca="false">RANK(N162,$N$7:$N$307,0)</f>
        <v>156</v>
      </c>
      <c r="R162" s="4" t="n">
        <f aca="false">RANK(O162,$O$7:$O$307,1)</f>
        <v>210</v>
      </c>
      <c r="S162" s="4" t="n">
        <f aca="false">RANK(J162,$J$7:$J$307,0)</f>
        <v>121</v>
      </c>
      <c r="T162" s="4" t="str">
        <f aca="false">IF(O162&lt;0.05,"YES","no")</f>
        <v>no</v>
      </c>
      <c r="U162" s="4" t="str">
        <f aca="false">IF(P162&lt;0.05,"YES","no")</f>
        <v>no</v>
      </c>
      <c r="V162" s="4" t="str">
        <f aca="false">IF(N162&gt;1,"YES","no")</f>
        <v>no</v>
      </c>
    </row>
    <row r="163" customFormat="false" ht="15" hidden="false" customHeight="false" outlineLevel="0" collapsed="false">
      <c r="A163" s="4" t="s">
        <v>252</v>
      </c>
      <c r="B163" s="4"/>
      <c r="C163" s="4" t="s">
        <v>61</v>
      </c>
      <c r="D163" s="8" t="n">
        <v>117.01924</v>
      </c>
      <c r="E163" s="9" t="n">
        <v>9.061</v>
      </c>
      <c r="F163" s="10" t="n">
        <v>1769793.83317135</v>
      </c>
      <c r="G163" s="10" t="n">
        <v>201283.05233288</v>
      </c>
      <c r="H163" s="10" t="n">
        <v>2206348.85466128</v>
      </c>
      <c r="I163" s="10" t="n">
        <v>404349.502783049</v>
      </c>
      <c r="J163" s="10" t="n">
        <v>1988071.34391632</v>
      </c>
      <c r="K163" s="11" t="n">
        <v>1.2466699868129</v>
      </c>
      <c r="L163" s="11" t="n">
        <v>0.318079611599342</v>
      </c>
      <c r="M163" s="11" t="n">
        <v>0.599313832341952</v>
      </c>
      <c r="N163" s="11" t="n">
        <v>0.210793802557842</v>
      </c>
      <c r="O163" s="12" t="n">
        <v>0.0481891338091753</v>
      </c>
      <c r="P163" s="12" t="n">
        <v>0.16280226358158</v>
      </c>
      <c r="Q163" s="4" t="n">
        <f aca="false">RANK(N163,$N$7:$N$307,0)</f>
        <v>157</v>
      </c>
      <c r="R163" s="4" t="n">
        <f aca="false">RANK(O163,$O$7:$O$307,1)</f>
        <v>89</v>
      </c>
      <c r="S163" s="4" t="n">
        <f aca="false">RANK(J163,$J$7:$J$307,0)</f>
        <v>140</v>
      </c>
      <c r="T163" s="4" t="str">
        <f aca="false">IF(O163&lt;0.05,"YES","no")</f>
        <v>YES</v>
      </c>
      <c r="U163" s="4" t="str">
        <f aca="false">IF(P163&lt;0.05,"YES","no")</f>
        <v>no</v>
      </c>
      <c r="V163" s="4" t="str">
        <f aca="false">IF(N163&gt;1,"YES","no")</f>
        <v>no</v>
      </c>
    </row>
    <row r="164" customFormat="false" ht="15" hidden="false" customHeight="false" outlineLevel="0" collapsed="false">
      <c r="A164" s="4" t="s">
        <v>253</v>
      </c>
      <c r="B164" s="4"/>
      <c r="C164" s="4" t="s">
        <v>61</v>
      </c>
      <c r="D164" s="8" t="n">
        <v>212.04317</v>
      </c>
      <c r="E164" s="9" t="n">
        <v>9.518</v>
      </c>
      <c r="F164" s="10" t="n">
        <v>1189343.7088643</v>
      </c>
      <c r="G164" s="10" t="n">
        <v>1088921.34112495</v>
      </c>
      <c r="H164" s="10" t="n">
        <v>2199379.9672935</v>
      </c>
      <c r="I164" s="10" t="n">
        <v>1864737.14234874</v>
      </c>
      <c r="J164" s="10" t="n">
        <v>1694361.8380789</v>
      </c>
      <c r="K164" s="11" t="n">
        <v>1.84923832438116</v>
      </c>
      <c r="L164" s="11" t="n">
        <v>0.886931167006045</v>
      </c>
      <c r="M164" s="11" t="n">
        <v>0.340641309371572</v>
      </c>
      <c r="N164" s="11" t="n">
        <v>0.210034991098015</v>
      </c>
      <c r="O164" s="12" t="n">
        <v>0.284806100485828</v>
      </c>
      <c r="P164" s="12" t="n">
        <v>0.446492897115803</v>
      </c>
      <c r="Q164" s="4" t="n">
        <f aca="false">RANK(N164,$N$7:$N$307,0)</f>
        <v>158</v>
      </c>
      <c r="R164" s="4" t="n">
        <f aca="false">RANK(O164,$O$7:$O$307,1)</f>
        <v>192</v>
      </c>
      <c r="S164" s="4" t="n">
        <f aca="false">RANK(J164,$J$7:$J$307,0)</f>
        <v>148</v>
      </c>
      <c r="T164" s="4" t="str">
        <f aca="false">IF(O164&lt;0.05,"YES","no")</f>
        <v>no</v>
      </c>
      <c r="U164" s="4" t="str">
        <f aca="false">IF(P164&lt;0.05,"YES","no")</f>
        <v>no</v>
      </c>
      <c r="V164" s="4" t="str">
        <f aca="false">IF(N164&gt;1,"YES","no")</f>
        <v>no</v>
      </c>
    </row>
    <row r="165" customFormat="false" ht="15" hidden="false" customHeight="false" outlineLevel="0" collapsed="false">
      <c r="A165" s="4" t="s">
        <v>254</v>
      </c>
      <c r="B165" s="4"/>
      <c r="C165" s="4" t="s">
        <v>61</v>
      </c>
      <c r="D165" s="8" t="n">
        <v>565.04835</v>
      </c>
      <c r="E165" s="9" t="n">
        <v>9.395</v>
      </c>
      <c r="F165" s="10" t="n">
        <v>3086905.85559487</v>
      </c>
      <c r="G165" s="10" t="n">
        <v>779297.478341887</v>
      </c>
      <c r="H165" s="10" t="n">
        <v>3855139.76387183</v>
      </c>
      <c r="I165" s="10" t="n">
        <v>1198795.87833423</v>
      </c>
      <c r="J165" s="10" t="n">
        <v>3471022.80973335</v>
      </c>
      <c r="K165" s="11" t="n">
        <v>1.24886859017245</v>
      </c>
      <c r="L165" s="11" t="n">
        <v>0.320621680083971</v>
      </c>
      <c r="M165" s="11" t="n">
        <v>0.384234954774035</v>
      </c>
      <c r="N165" s="11" t="n">
        <v>0.208999585197335</v>
      </c>
      <c r="O165" s="12" t="n">
        <v>0.222196819114623</v>
      </c>
      <c r="P165" s="12" t="n">
        <v>0.388758310053858</v>
      </c>
      <c r="Q165" s="4" t="n">
        <f aca="false">RANK(N165,$N$7:$N$307,0)</f>
        <v>159</v>
      </c>
      <c r="R165" s="4" t="n">
        <f aca="false">RANK(O165,$O$7:$O$307,1)</f>
        <v>172</v>
      </c>
      <c r="S165" s="4" t="n">
        <f aca="false">RANK(J165,$J$7:$J$307,0)</f>
        <v>116</v>
      </c>
      <c r="T165" s="4" t="str">
        <f aca="false">IF(O165&lt;0.05,"YES","no")</f>
        <v>no</v>
      </c>
      <c r="U165" s="4" t="str">
        <f aca="false">IF(P165&lt;0.05,"YES","no")</f>
        <v>no</v>
      </c>
      <c r="V165" s="4" t="str">
        <f aca="false">IF(N165&gt;1,"YES","no")</f>
        <v>no</v>
      </c>
    </row>
    <row r="166" customFormat="false" ht="15" hidden="false" customHeight="false" outlineLevel="0" collapsed="false">
      <c r="A166" s="4" t="s">
        <v>255</v>
      </c>
      <c r="B166" s="4"/>
      <c r="C166" s="4" t="s">
        <v>61</v>
      </c>
      <c r="D166" s="8" t="n">
        <v>155.00989</v>
      </c>
      <c r="E166" s="9" t="n">
        <v>6.873</v>
      </c>
      <c r="F166" s="10" t="n">
        <v>398596.313596733</v>
      </c>
      <c r="G166" s="10" t="n">
        <v>183337.702389848</v>
      </c>
      <c r="H166" s="10" t="n">
        <v>828275.940316299</v>
      </c>
      <c r="I166" s="10" t="n">
        <v>204392.362376613</v>
      </c>
      <c r="J166" s="10" t="n">
        <v>613436.126956516</v>
      </c>
      <c r="K166" s="11" t="n">
        <v>2.07798193827322</v>
      </c>
      <c r="L166" s="11" t="n">
        <v>1.05518311445536</v>
      </c>
      <c r="M166" s="11" t="n">
        <v>0.771388014010192</v>
      </c>
      <c r="N166" s="11" t="n">
        <v>0.207531240818253</v>
      </c>
      <c r="O166" s="12" t="n">
        <v>0.00337234945995917</v>
      </c>
      <c r="P166" s="12" t="n">
        <v>0.0804254332941195</v>
      </c>
      <c r="Q166" s="4" t="n">
        <f aca="false">RANK(N166,$N$7:$N$307,0)</f>
        <v>160</v>
      </c>
      <c r="R166" s="4" t="n">
        <f aca="false">RANK(O166,$O$7:$O$307,1)</f>
        <v>12</v>
      </c>
      <c r="S166" s="4" t="n">
        <f aca="false">RANK(J166,$J$7:$J$307,0)</f>
        <v>194</v>
      </c>
      <c r="T166" s="4" t="str">
        <f aca="false">IF(O166&lt;0.05,"YES","no")</f>
        <v>YES</v>
      </c>
      <c r="U166" s="4" t="str">
        <f aca="false">IF(P166&lt;0.05,"YES","no")</f>
        <v>no</v>
      </c>
      <c r="V166" s="4" t="str">
        <f aca="false">IF(N166&gt;1,"YES","no")</f>
        <v>no</v>
      </c>
    </row>
    <row r="167" customFormat="false" ht="15" hidden="false" customHeight="false" outlineLevel="0" collapsed="false">
      <c r="A167" s="4" t="s">
        <v>256</v>
      </c>
      <c r="B167" s="4"/>
      <c r="C167" s="4" t="s">
        <v>61</v>
      </c>
      <c r="D167" s="8" t="n">
        <v>137.02435</v>
      </c>
      <c r="E167" s="9" t="n">
        <v>4.578</v>
      </c>
      <c r="F167" s="10" t="n">
        <v>524842.742534042</v>
      </c>
      <c r="G167" s="10" t="n">
        <v>357448.964723931</v>
      </c>
      <c r="H167" s="10" t="n">
        <v>1066214.47967951</v>
      </c>
      <c r="I167" s="10" t="n">
        <v>282154.106850882</v>
      </c>
      <c r="J167" s="10" t="n">
        <v>795528.611106774</v>
      </c>
      <c r="K167" s="11" t="n">
        <v>2.03149323268074</v>
      </c>
      <c r="L167" s="11" t="n">
        <v>1.02254055866489</v>
      </c>
      <c r="M167" s="11" t="n">
        <v>0.677393536718423</v>
      </c>
      <c r="N167" s="11" t="n">
        <v>0.204818978575986</v>
      </c>
      <c r="O167" s="12" t="n">
        <v>0.0163497820546766</v>
      </c>
      <c r="P167" s="12" t="n">
        <v>0.0928544226124088</v>
      </c>
      <c r="Q167" s="4" t="n">
        <f aca="false">RANK(N167,$N$7:$N$307,0)</f>
        <v>161</v>
      </c>
      <c r="R167" s="4" t="n">
        <f aca="false">RANK(O167,$O$7:$O$307,1)</f>
        <v>53</v>
      </c>
      <c r="S167" s="4" t="n">
        <f aca="false">RANK(J167,$J$7:$J$307,0)</f>
        <v>182</v>
      </c>
      <c r="T167" s="4" t="str">
        <f aca="false">IF(O167&lt;0.05,"YES","no")</f>
        <v>YES</v>
      </c>
      <c r="U167" s="4" t="str">
        <f aca="false">IF(P167&lt;0.05,"YES","no")</f>
        <v>no</v>
      </c>
      <c r="V167" s="4" t="str">
        <f aca="false">IF(N167&gt;1,"YES","no")</f>
        <v>no</v>
      </c>
    </row>
    <row r="168" customFormat="false" ht="15" hidden="false" customHeight="false" outlineLevel="0" collapsed="false">
      <c r="A168" s="4" t="s">
        <v>257</v>
      </c>
      <c r="B168" s="4"/>
      <c r="C168" s="4" t="s">
        <v>72</v>
      </c>
      <c r="D168" s="8" t="n">
        <v>109.02835</v>
      </c>
      <c r="E168" s="9" t="n">
        <v>9.916</v>
      </c>
      <c r="F168" s="10" t="n">
        <v>1050753.57506409</v>
      </c>
      <c r="G168" s="10" t="n">
        <v>1201393.5920569</v>
      </c>
      <c r="H168" s="10" t="n">
        <v>1665491.32990793</v>
      </c>
      <c r="I168" s="10" t="n">
        <v>445943.626993485</v>
      </c>
      <c r="J168" s="10" t="n">
        <v>1358122.45248601</v>
      </c>
      <c r="K168" s="11" t="n">
        <v>1.5850446474154</v>
      </c>
      <c r="L168" s="11" t="n">
        <v>0.664523478659696</v>
      </c>
      <c r="M168" s="11" t="n">
        <v>0.348310230411013</v>
      </c>
      <c r="N168" s="11" t="n">
        <v>0.20141616713522</v>
      </c>
      <c r="O168" s="12" t="n">
        <v>0.282139380331211</v>
      </c>
      <c r="P168" s="12" t="n">
        <v>0.4446280286895</v>
      </c>
      <c r="Q168" s="4" t="n">
        <f aca="false">RANK(N168,$N$7:$N$307,0)</f>
        <v>162</v>
      </c>
      <c r="R168" s="4" t="n">
        <f aca="false">RANK(O168,$O$7:$O$307,1)</f>
        <v>191</v>
      </c>
      <c r="S168" s="4" t="n">
        <f aca="false">RANK(J168,$J$7:$J$307,0)</f>
        <v>158</v>
      </c>
      <c r="T168" s="4" t="str">
        <f aca="false">IF(O168&lt;0.05,"YES","no")</f>
        <v>no</v>
      </c>
      <c r="U168" s="4" t="str">
        <f aca="false">IF(P168&lt;0.05,"YES","no")</f>
        <v>no</v>
      </c>
      <c r="V168" s="4" t="str">
        <f aca="false">IF(N168&gt;1,"YES","no")</f>
        <v>no</v>
      </c>
    </row>
    <row r="169" customFormat="false" ht="15" hidden="false" customHeight="false" outlineLevel="0" collapsed="false">
      <c r="A169" s="4" t="s">
        <v>258</v>
      </c>
      <c r="B169" s="4"/>
      <c r="C169" s="4" t="s">
        <v>61</v>
      </c>
      <c r="D169" s="8" t="n">
        <v>172.09791</v>
      </c>
      <c r="E169" s="9" t="n">
        <v>4.867</v>
      </c>
      <c r="F169" s="10" t="n">
        <v>215756.327763298</v>
      </c>
      <c r="G169" s="10" t="n">
        <v>162674.774311475</v>
      </c>
      <c r="H169" s="10" t="n">
        <v>622099.930096189</v>
      </c>
      <c r="I169" s="10" t="n">
        <v>358542.586273975</v>
      </c>
      <c r="J169" s="10" t="n">
        <v>418928.128929743</v>
      </c>
      <c r="K169" s="11" t="n">
        <v>2.88334500566159</v>
      </c>
      <c r="L169" s="11" t="n">
        <v>1.52774347234358</v>
      </c>
      <c r="M169" s="11" t="n">
        <v>0.624424000572333</v>
      </c>
      <c r="N169" s="11" t="n">
        <v>0.199478737190221</v>
      </c>
      <c r="O169" s="12" t="n">
        <v>0.0394627745687794</v>
      </c>
      <c r="P169" s="12" t="n">
        <v>0.146645619076575</v>
      </c>
      <c r="Q169" s="4" t="n">
        <f aca="false">RANK(N169,$N$7:$N$307,0)</f>
        <v>163</v>
      </c>
      <c r="R169" s="4" t="n">
        <f aca="false">RANK(O169,$O$7:$O$307,1)</f>
        <v>81</v>
      </c>
      <c r="S169" s="4" t="n">
        <f aca="false">RANK(J169,$J$7:$J$307,0)</f>
        <v>211</v>
      </c>
      <c r="T169" s="4" t="str">
        <f aca="false">IF(O169&lt;0.05,"YES","no")</f>
        <v>YES</v>
      </c>
      <c r="U169" s="4" t="str">
        <f aca="false">IF(P169&lt;0.05,"YES","no")</f>
        <v>no</v>
      </c>
      <c r="V169" s="4" t="str">
        <f aca="false">IF(N169&gt;1,"YES","no")</f>
        <v>no</v>
      </c>
    </row>
    <row r="170" customFormat="false" ht="15" hidden="false" customHeight="false" outlineLevel="0" collapsed="false">
      <c r="A170" s="4" t="s">
        <v>259</v>
      </c>
      <c r="B170" s="4"/>
      <c r="C170" s="4" t="s">
        <v>61</v>
      </c>
      <c r="D170" s="8" t="n">
        <v>127.05014</v>
      </c>
      <c r="E170" s="9" t="n">
        <v>9.201</v>
      </c>
      <c r="F170" s="10" t="n">
        <v>1084398.51157561</v>
      </c>
      <c r="G170" s="10" t="n">
        <v>326213.719057011</v>
      </c>
      <c r="H170" s="10" t="n">
        <v>1737737.37547392</v>
      </c>
      <c r="I170" s="10" t="n">
        <v>1041306.39853958</v>
      </c>
      <c r="J170" s="10" t="n">
        <v>1411067.94352476</v>
      </c>
      <c r="K170" s="11" t="n">
        <v>1.60248963542841</v>
      </c>
      <c r="L170" s="11" t="n">
        <v>0.680315025820998</v>
      </c>
      <c r="M170" s="11" t="n">
        <v>0.420729585949348</v>
      </c>
      <c r="N170" s="11" t="n">
        <v>0.197904153264169</v>
      </c>
      <c r="O170" s="12" t="n">
        <v>0.193078046914595</v>
      </c>
      <c r="P170" s="12" t="n">
        <v>0.356228768710736</v>
      </c>
      <c r="Q170" s="4" t="n">
        <f aca="false">RANK(N170,$N$7:$N$307,0)</f>
        <v>164</v>
      </c>
      <c r="R170" s="4" t="n">
        <f aca="false">RANK(O170,$O$7:$O$307,1)</f>
        <v>163</v>
      </c>
      <c r="S170" s="4" t="n">
        <f aca="false">RANK(J170,$J$7:$J$307,0)</f>
        <v>155</v>
      </c>
      <c r="T170" s="4" t="str">
        <f aca="false">IF(O170&lt;0.05,"YES","no")</f>
        <v>no</v>
      </c>
      <c r="U170" s="4" t="str">
        <f aca="false">IF(P170&lt;0.05,"YES","no")</f>
        <v>no</v>
      </c>
      <c r="V170" s="4" t="str">
        <f aca="false">IF(N170&gt;1,"YES","no")</f>
        <v>no</v>
      </c>
    </row>
    <row r="171" customFormat="false" ht="15" hidden="false" customHeight="false" outlineLevel="0" collapsed="false">
      <c r="A171" s="4" t="s">
        <v>260</v>
      </c>
      <c r="B171" s="4"/>
      <c r="C171" s="4" t="s">
        <v>72</v>
      </c>
      <c r="D171" s="8" t="n">
        <v>126.06621</v>
      </c>
      <c r="E171" s="9" t="n">
        <v>8.612</v>
      </c>
      <c r="F171" s="10" t="n">
        <v>1677655.17470606</v>
      </c>
      <c r="G171" s="10" t="n">
        <v>1636534.74288555</v>
      </c>
      <c r="H171" s="10" t="n">
        <v>983429.019736297</v>
      </c>
      <c r="I171" s="10" t="n">
        <v>425386.575443265</v>
      </c>
      <c r="J171" s="10" t="n">
        <v>1330542.09722118</v>
      </c>
      <c r="K171" s="11" t="n">
        <v>0.586192582697219</v>
      </c>
      <c r="L171" s="11" t="n">
        <v>-0.770553381676762</v>
      </c>
      <c r="M171" s="11" t="n">
        <v>0.303063571201026</v>
      </c>
      <c r="N171" s="11" t="n">
        <v>0.191696334352131</v>
      </c>
      <c r="O171" s="12" t="n">
        <v>0.355528340759467</v>
      </c>
      <c r="P171" s="12" t="n">
        <v>0.527132292335653</v>
      </c>
      <c r="Q171" s="4" t="n">
        <f aca="false">RANK(N171,$N$7:$N$307,0)</f>
        <v>165</v>
      </c>
      <c r="R171" s="4" t="n">
        <f aca="false">RANK(O171,$O$7:$O$307,1)</f>
        <v>203</v>
      </c>
      <c r="S171" s="4" t="n">
        <f aca="false">RANK(J171,$J$7:$J$307,0)</f>
        <v>160</v>
      </c>
      <c r="T171" s="4" t="str">
        <f aca="false">IF(O171&lt;0.05,"YES","no")</f>
        <v>no</v>
      </c>
      <c r="U171" s="4" t="str">
        <f aca="false">IF(P171&lt;0.05,"YES","no")</f>
        <v>no</v>
      </c>
      <c r="V171" s="4" t="str">
        <f aca="false">IF(N171&gt;1,"YES","no")</f>
        <v>no</v>
      </c>
    </row>
    <row r="172" customFormat="false" ht="15" hidden="false" customHeight="false" outlineLevel="0" collapsed="false">
      <c r="A172" s="4" t="s">
        <v>261</v>
      </c>
      <c r="B172" s="4"/>
      <c r="C172" s="4" t="s">
        <v>61</v>
      </c>
      <c r="D172" s="8" t="n">
        <v>152.00239</v>
      </c>
      <c r="E172" s="9" t="n">
        <v>9.577</v>
      </c>
      <c r="F172" s="10" t="n">
        <v>195529.629170186</v>
      </c>
      <c r="G172" s="10" t="n">
        <v>102934.723881197</v>
      </c>
      <c r="H172" s="10" t="n">
        <v>550869.479359964</v>
      </c>
      <c r="I172" s="10" t="n">
        <v>215034.836893912</v>
      </c>
      <c r="J172" s="10" t="n">
        <v>373199.554265075</v>
      </c>
      <c r="K172" s="11" t="n">
        <v>2.81731971618734</v>
      </c>
      <c r="L172" s="11" t="n">
        <v>1.49432329349095</v>
      </c>
      <c r="M172" s="11" t="n">
        <v>0.755884321823238</v>
      </c>
      <c r="N172" s="11" t="n">
        <v>0.191090782623993</v>
      </c>
      <c r="O172" s="12" t="n">
        <v>0.00782038156202507</v>
      </c>
      <c r="P172" s="12" t="n">
        <v>0.0807692088686714</v>
      </c>
      <c r="Q172" s="4" t="n">
        <f aca="false">RANK(N172,$N$7:$N$307,0)</f>
        <v>166</v>
      </c>
      <c r="R172" s="4" t="n">
        <f aca="false">RANK(O172,$O$7:$O$307,1)</f>
        <v>25</v>
      </c>
      <c r="S172" s="4" t="n">
        <f aca="false">RANK(J172,$J$7:$J$307,0)</f>
        <v>223</v>
      </c>
      <c r="T172" s="4" t="str">
        <f aca="false">IF(O172&lt;0.05,"YES","no")</f>
        <v>YES</v>
      </c>
      <c r="U172" s="4" t="str">
        <f aca="false">IF(P172&lt;0.05,"YES","no")</f>
        <v>no</v>
      </c>
      <c r="V172" s="4" t="str">
        <f aca="false">IF(N172&gt;1,"YES","no")</f>
        <v>no</v>
      </c>
    </row>
    <row r="173" customFormat="false" ht="15" hidden="false" customHeight="false" outlineLevel="0" collapsed="false">
      <c r="A173" s="4" t="s">
        <v>262</v>
      </c>
      <c r="B173" s="4"/>
      <c r="C173" s="4" t="s">
        <v>72</v>
      </c>
      <c r="D173" s="8" t="n">
        <v>290.1347</v>
      </c>
      <c r="E173" s="9" t="n">
        <v>9.152</v>
      </c>
      <c r="F173" s="10" t="n">
        <v>234279.748356857</v>
      </c>
      <c r="G173" s="10" t="n">
        <v>102658.333682886</v>
      </c>
      <c r="H173" s="10" t="n">
        <v>696834.286602846</v>
      </c>
      <c r="I173" s="10" t="n">
        <v>421229.312061673</v>
      </c>
      <c r="J173" s="10" t="n">
        <v>465557.017479851</v>
      </c>
      <c r="K173" s="11" t="n">
        <v>2.97436842702009</v>
      </c>
      <c r="L173" s="11" t="n">
        <v>1.57258336121481</v>
      </c>
      <c r="M173" s="11" t="n">
        <v>0.637025457872614</v>
      </c>
      <c r="N173" s="11" t="n">
        <v>0.18770639356516</v>
      </c>
      <c r="O173" s="12" t="n">
        <v>0.0426611845720591</v>
      </c>
      <c r="P173" s="12" t="n">
        <v>0.152869244716545</v>
      </c>
      <c r="Q173" s="4" t="n">
        <f aca="false">RANK(N173,$N$7:$N$307,0)</f>
        <v>167</v>
      </c>
      <c r="R173" s="4" t="n">
        <f aca="false">RANK(O173,$O$7:$O$307,1)</f>
        <v>84</v>
      </c>
      <c r="S173" s="4" t="n">
        <f aca="false">RANK(J173,$J$7:$J$307,0)</f>
        <v>207</v>
      </c>
      <c r="T173" s="4" t="str">
        <f aca="false">IF(O173&lt;0.05,"YES","no")</f>
        <v>YES</v>
      </c>
      <c r="U173" s="4" t="str">
        <f aca="false">IF(P173&lt;0.05,"YES","no")</f>
        <v>no</v>
      </c>
      <c r="V173" s="4" t="str">
        <f aca="false">IF(N173&gt;1,"YES","no")</f>
        <v>no</v>
      </c>
    </row>
    <row r="174" customFormat="false" ht="15" hidden="false" customHeight="false" outlineLevel="0" collapsed="false">
      <c r="A174" s="4" t="s">
        <v>263</v>
      </c>
      <c r="B174" s="4"/>
      <c r="C174" s="4" t="s">
        <v>61</v>
      </c>
      <c r="D174" s="8" t="n">
        <v>308.09847</v>
      </c>
      <c r="E174" s="9" t="n">
        <v>9.023</v>
      </c>
      <c r="F174" s="10" t="n">
        <v>454594.162242816</v>
      </c>
      <c r="G174" s="10" t="n">
        <v>224362.473962863</v>
      </c>
      <c r="H174" s="10" t="n">
        <v>864917.263095016</v>
      </c>
      <c r="I174" s="10" t="n">
        <v>205104.929222103</v>
      </c>
      <c r="J174" s="10" t="n">
        <v>659755.712668916</v>
      </c>
      <c r="K174" s="11" t="n">
        <v>1.90261410051507</v>
      </c>
      <c r="L174" s="11" t="n">
        <v>0.927982975311591</v>
      </c>
      <c r="M174" s="11" t="n">
        <v>0.722677676214863</v>
      </c>
      <c r="N174" s="11" t="n">
        <v>0.183721927017365</v>
      </c>
      <c r="O174" s="12" t="n">
        <v>0.0080123815565497</v>
      </c>
      <c r="P174" s="12" t="n">
        <v>0.0807692088686714</v>
      </c>
      <c r="Q174" s="4" t="n">
        <f aca="false">RANK(N174,$N$7:$N$307,0)</f>
        <v>168</v>
      </c>
      <c r="R174" s="4" t="n">
        <f aca="false">RANK(O174,$O$7:$O$307,1)</f>
        <v>26</v>
      </c>
      <c r="S174" s="4" t="n">
        <f aca="false">RANK(J174,$J$7:$J$307,0)</f>
        <v>187</v>
      </c>
      <c r="T174" s="4" t="str">
        <f aca="false">IF(O174&lt;0.05,"YES","no")</f>
        <v>YES</v>
      </c>
      <c r="U174" s="4" t="str">
        <f aca="false">IF(P174&lt;0.05,"YES","no")</f>
        <v>no</v>
      </c>
      <c r="V174" s="4" t="str">
        <f aca="false">IF(N174&gt;1,"YES","no")</f>
        <v>no</v>
      </c>
    </row>
    <row r="175" customFormat="false" ht="15" hidden="false" customHeight="false" outlineLevel="0" collapsed="false">
      <c r="A175" s="4" t="s">
        <v>264</v>
      </c>
      <c r="B175" s="4"/>
      <c r="C175" s="4" t="s">
        <v>61</v>
      </c>
      <c r="D175" s="8" t="n">
        <v>166.97516</v>
      </c>
      <c r="E175" s="9" t="n">
        <v>10.547</v>
      </c>
      <c r="F175" s="10" t="n">
        <v>490828.212172092</v>
      </c>
      <c r="G175" s="10" t="n">
        <v>477388.754382899</v>
      </c>
      <c r="H175" s="10" t="n">
        <v>765231.463771204</v>
      </c>
      <c r="I175" s="10" t="n">
        <v>485059.507409966</v>
      </c>
      <c r="J175" s="10" t="n">
        <v>628029.837971648</v>
      </c>
      <c r="K175" s="11" t="n">
        <v>1.55906169367237</v>
      </c>
      <c r="L175" s="11" t="n">
        <v>0.640678018089674</v>
      </c>
      <c r="M175" s="11" t="n">
        <v>0.298111514436869</v>
      </c>
      <c r="N175" s="11" t="n">
        <v>0.180536432435134</v>
      </c>
      <c r="O175" s="12" t="n">
        <v>0.346639246823876</v>
      </c>
      <c r="P175" s="12" t="n">
        <v>0.520792259821401</v>
      </c>
      <c r="Q175" s="4" t="n">
        <f aca="false">RANK(N175,$N$7:$N$307,0)</f>
        <v>169</v>
      </c>
      <c r="R175" s="4" t="n">
        <f aca="false">RANK(O175,$O$7:$O$307,1)</f>
        <v>200</v>
      </c>
      <c r="S175" s="4" t="n">
        <f aca="false">RANK(J175,$J$7:$J$307,0)</f>
        <v>192</v>
      </c>
      <c r="T175" s="4" t="str">
        <f aca="false">IF(O175&lt;0.05,"YES","no")</f>
        <v>no</v>
      </c>
      <c r="U175" s="4" t="str">
        <f aca="false">IF(P175&lt;0.05,"YES","no")</f>
        <v>no</v>
      </c>
      <c r="V175" s="4" t="str">
        <f aca="false">IF(N175&gt;1,"YES","no")</f>
        <v>no</v>
      </c>
    </row>
    <row r="176" customFormat="false" ht="15" hidden="false" customHeight="false" outlineLevel="0" collapsed="false">
      <c r="A176" s="4" t="s">
        <v>265</v>
      </c>
      <c r="B176" s="4"/>
      <c r="C176" s="4" t="s">
        <v>61</v>
      </c>
      <c r="D176" s="8" t="n">
        <v>276.14413</v>
      </c>
      <c r="E176" s="9" t="n">
        <v>9.52</v>
      </c>
      <c r="F176" s="10" t="n">
        <v>911473.141342681</v>
      </c>
      <c r="G176" s="10" t="n">
        <v>473864.200543547</v>
      </c>
      <c r="H176" s="10" t="n">
        <v>1368775.68217204</v>
      </c>
      <c r="I176" s="10" t="n">
        <v>388301.092416129</v>
      </c>
      <c r="J176" s="10" t="n">
        <v>1140124.41175736</v>
      </c>
      <c r="K176" s="11" t="n">
        <v>1.50171806506082</v>
      </c>
      <c r="L176" s="11" t="n">
        <v>0.586613984411569</v>
      </c>
      <c r="M176" s="11" t="n">
        <v>0.500549361315383</v>
      </c>
      <c r="N176" s="11" t="n">
        <v>0.178121442883737</v>
      </c>
      <c r="O176" s="12" t="n">
        <v>0.0985826909673561</v>
      </c>
      <c r="P176" s="12" t="n">
        <v>0.231823359227923</v>
      </c>
      <c r="Q176" s="4" t="n">
        <f aca="false">RANK(N176,$N$7:$N$307,0)</f>
        <v>170</v>
      </c>
      <c r="R176" s="4" t="n">
        <f aca="false">RANK(O176,$O$7:$O$307,1)</f>
        <v>128</v>
      </c>
      <c r="S176" s="4" t="n">
        <f aca="false">RANK(J176,$J$7:$J$307,0)</f>
        <v>167</v>
      </c>
      <c r="T176" s="4" t="str">
        <f aca="false">IF(O176&lt;0.05,"YES","no")</f>
        <v>no</v>
      </c>
      <c r="U176" s="4" t="str">
        <f aca="false">IF(P176&lt;0.05,"YES","no")</f>
        <v>no</v>
      </c>
      <c r="V176" s="4" t="str">
        <f aca="false">IF(N176&gt;1,"YES","no")</f>
        <v>no</v>
      </c>
    </row>
    <row r="177" customFormat="false" ht="15" hidden="false" customHeight="false" outlineLevel="0" collapsed="false">
      <c r="A177" s="4" t="s">
        <v>266</v>
      </c>
      <c r="B177" s="4" t="s">
        <v>267</v>
      </c>
      <c r="C177" s="4" t="s">
        <v>61</v>
      </c>
      <c r="D177" s="8" t="n">
        <v>604.06976</v>
      </c>
      <c r="E177" s="9" t="n">
        <v>10.47</v>
      </c>
      <c r="F177" s="10" t="n">
        <v>914788.224732216</v>
      </c>
      <c r="G177" s="10" t="n">
        <v>561481.677903634</v>
      </c>
      <c r="H177" s="10" t="n">
        <v>1130425.89998548</v>
      </c>
      <c r="I177" s="10" t="n">
        <v>232505.525032065</v>
      </c>
      <c r="J177" s="10" t="n">
        <v>1022607.06235885</v>
      </c>
      <c r="K177" s="11" t="n">
        <v>1.23572414841302</v>
      </c>
      <c r="L177" s="11" t="n">
        <v>0.305356725335502</v>
      </c>
      <c r="M177" s="11" t="n">
        <v>0.265023613887507</v>
      </c>
      <c r="N177" s="11" t="n">
        <v>0.17786919046206</v>
      </c>
      <c r="O177" s="12" t="n">
        <v>0.414957368765484</v>
      </c>
      <c r="P177" s="12" t="n">
        <v>0.560627692534966</v>
      </c>
      <c r="Q177" s="4" t="n">
        <f aca="false">RANK(N177,$N$7:$N$307,0)</f>
        <v>171</v>
      </c>
      <c r="R177" s="4" t="n">
        <f aca="false">RANK(O177,$O$7:$O$307,1)</f>
        <v>221</v>
      </c>
      <c r="S177" s="4" t="n">
        <f aca="false">RANK(J177,$J$7:$J$307,0)</f>
        <v>171</v>
      </c>
      <c r="T177" s="4" t="str">
        <f aca="false">IF(O177&lt;0.05,"YES","no")</f>
        <v>no</v>
      </c>
      <c r="U177" s="4" t="str">
        <f aca="false">IF(P177&lt;0.05,"YES","no")</f>
        <v>no</v>
      </c>
      <c r="V177" s="4" t="str">
        <f aca="false">IF(N177&gt;1,"YES","no")</f>
        <v>no</v>
      </c>
    </row>
    <row r="178" customFormat="false" ht="15" hidden="false" customHeight="false" outlineLevel="0" collapsed="false">
      <c r="A178" s="4" t="s">
        <v>268</v>
      </c>
      <c r="B178" s="4"/>
      <c r="C178" s="4" t="s">
        <v>72</v>
      </c>
      <c r="D178" s="8" t="n">
        <v>96.04431</v>
      </c>
      <c r="E178" s="9" t="n">
        <v>6.894</v>
      </c>
      <c r="F178" s="10" t="n">
        <v>1023809.58193333</v>
      </c>
      <c r="G178" s="10" t="n">
        <v>267764.418640634</v>
      </c>
      <c r="H178" s="10" t="n">
        <v>1440920.94415598</v>
      </c>
      <c r="I178" s="10" t="n">
        <v>256890.469003019</v>
      </c>
      <c r="J178" s="10" t="n">
        <v>1232365.26304465</v>
      </c>
      <c r="K178" s="11" t="n">
        <v>1.40741107485533</v>
      </c>
      <c r="L178" s="11" t="n">
        <v>0.4930437706763</v>
      </c>
      <c r="M178" s="11" t="n">
        <v>0.656672035243112</v>
      </c>
      <c r="N178" s="11" t="n">
        <v>0.176349311407145</v>
      </c>
      <c r="O178" s="12" t="n">
        <v>0.0203880062872857</v>
      </c>
      <c r="P178" s="12" t="n">
        <v>0.098980482136661</v>
      </c>
      <c r="Q178" s="4" t="n">
        <f aca="false">RANK(N178,$N$7:$N$307,0)</f>
        <v>172</v>
      </c>
      <c r="R178" s="4" t="n">
        <f aca="false">RANK(O178,$O$7:$O$307,1)</f>
        <v>62</v>
      </c>
      <c r="S178" s="4" t="n">
        <f aca="false">RANK(J178,$J$7:$J$307,0)</f>
        <v>164</v>
      </c>
      <c r="T178" s="4" t="str">
        <f aca="false">IF(O178&lt;0.05,"YES","no")</f>
        <v>YES</v>
      </c>
      <c r="U178" s="4" t="str">
        <f aca="false">IF(P178&lt;0.05,"YES","no")</f>
        <v>no</v>
      </c>
      <c r="V178" s="4" t="str">
        <f aca="false">IF(N178&gt;1,"YES","no")</f>
        <v>no</v>
      </c>
    </row>
    <row r="179" customFormat="false" ht="15" hidden="false" customHeight="false" outlineLevel="0" collapsed="false">
      <c r="A179" s="4" t="s">
        <v>269</v>
      </c>
      <c r="B179" s="4"/>
      <c r="C179" s="4" t="s">
        <v>72</v>
      </c>
      <c r="D179" s="8" t="n">
        <v>571.28961</v>
      </c>
      <c r="E179" s="9" t="n">
        <v>4.45</v>
      </c>
      <c r="F179" s="10" t="n">
        <v>557860.889165468</v>
      </c>
      <c r="G179" s="10" t="n">
        <v>457444.704689872</v>
      </c>
      <c r="H179" s="10" t="n">
        <v>1050080.00548322</v>
      </c>
      <c r="I179" s="10" t="n">
        <v>338010.121896417</v>
      </c>
      <c r="J179" s="10" t="n">
        <v>803970.447324344</v>
      </c>
      <c r="K179" s="11" t="n">
        <v>1.88233307958565</v>
      </c>
      <c r="L179" s="11" t="n">
        <v>0.912521936115726</v>
      </c>
      <c r="M179" s="11" t="n">
        <v>0.556808542180872</v>
      </c>
      <c r="N179" s="11" t="n">
        <v>0.176297961528483</v>
      </c>
      <c r="O179" s="12" t="n">
        <v>0.0623832505243915</v>
      </c>
      <c r="P179" s="12" t="n">
        <v>0.172868249839214</v>
      </c>
      <c r="Q179" s="4" t="n">
        <f aca="false">RANK(N179,$N$7:$N$307,0)</f>
        <v>173</v>
      </c>
      <c r="R179" s="4" t="n">
        <f aca="false">RANK(O179,$O$7:$O$307,1)</f>
        <v>107</v>
      </c>
      <c r="S179" s="4" t="n">
        <f aca="false">RANK(J179,$J$7:$J$307,0)</f>
        <v>181</v>
      </c>
      <c r="T179" s="4" t="str">
        <f aca="false">IF(O179&lt;0.05,"YES","no")</f>
        <v>no</v>
      </c>
      <c r="U179" s="4" t="str">
        <f aca="false">IF(P179&lt;0.05,"YES","no")</f>
        <v>no</v>
      </c>
      <c r="V179" s="4" t="str">
        <f aca="false">IF(N179&gt;1,"YES","no")</f>
        <v>no</v>
      </c>
    </row>
    <row r="180" customFormat="false" ht="15" hidden="false" customHeight="false" outlineLevel="0" collapsed="false">
      <c r="A180" s="4" t="s">
        <v>270</v>
      </c>
      <c r="B180" s="4"/>
      <c r="C180" s="4" t="s">
        <v>61</v>
      </c>
      <c r="D180" s="8" t="n">
        <v>181.0507</v>
      </c>
      <c r="E180" s="9" t="n">
        <v>6.87</v>
      </c>
      <c r="F180" s="10" t="n">
        <v>665971.740983756</v>
      </c>
      <c r="G180" s="10" t="n">
        <v>567619.972263375</v>
      </c>
      <c r="H180" s="10" t="n">
        <v>1117367.43677937</v>
      </c>
      <c r="I180" s="10" t="n">
        <v>281863.207621816</v>
      </c>
      <c r="J180" s="10" t="n">
        <v>891669.588881564</v>
      </c>
      <c r="K180" s="11" t="n">
        <v>1.67780007471312</v>
      </c>
      <c r="L180" s="11" t="n">
        <v>0.746570815656246</v>
      </c>
      <c r="M180" s="11" t="n">
        <v>0.483071333528728</v>
      </c>
      <c r="N180" s="11" t="n">
        <v>0.173478462105812</v>
      </c>
      <c r="O180" s="12" t="n">
        <v>0.122659499527249</v>
      </c>
      <c r="P180" s="12" t="n">
        <v>0.265615175235266</v>
      </c>
      <c r="Q180" s="4" t="n">
        <f aca="false">RANK(N180,$N$7:$N$307,0)</f>
        <v>174</v>
      </c>
      <c r="R180" s="4" t="n">
        <f aca="false">RANK(O180,$O$7:$O$307,1)</f>
        <v>139</v>
      </c>
      <c r="S180" s="4" t="n">
        <f aca="false">RANK(J180,$J$7:$J$307,0)</f>
        <v>176</v>
      </c>
      <c r="T180" s="4" t="str">
        <f aca="false">IF(O180&lt;0.05,"YES","no")</f>
        <v>no</v>
      </c>
      <c r="U180" s="4" t="str">
        <f aca="false">IF(P180&lt;0.05,"YES","no")</f>
        <v>no</v>
      </c>
      <c r="V180" s="4" t="str">
        <f aca="false">IF(N180&gt;1,"YES","no")</f>
        <v>no</v>
      </c>
    </row>
    <row r="181" customFormat="false" ht="15" hidden="false" customHeight="false" outlineLevel="0" collapsed="false">
      <c r="A181" s="4" t="s">
        <v>271</v>
      </c>
      <c r="B181" s="4"/>
      <c r="C181" s="4" t="s">
        <v>61</v>
      </c>
      <c r="D181" s="8" t="n">
        <v>168.9909</v>
      </c>
      <c r="E181" s="9" t="n">
        <v>9.562</v>
      </c>
      <c r="F181" s="10" t="n">
        <v>420722.157996979</v>
      </c>
      <c r="G181" s="10" t="n">
        <v>357090.843040148</v>
      </c>
      <c r="H181" s="10" t="n">
        <v>866875.340141676</v>
      </c>
      <c r="I181" s="10" t="n">
        <v>336355.917712411</v>
      </c>
      <c r="J181" s="10" t="n">
        <v>643798.749069327</v>
      </c>
      <c r="K181" s="11" t="n">
        <v>2.06044612498851</v>
      </c>
      <c r="L181" s="11" t="n">
        <v>1.04295674159558</v>
      </c>
      <c r="M181" s="11" t="n">
        <v>0.575916677824507</v>
      </c>
      <c r="N181" s="11" t="n">
        <v>0.170918568552471</v>
      </c>
      <c r="O181" s="12" t="n">
        <v>0.0501239784427136</v>
      </c>
      <c r="P181" s="12" t="n">
        <v>0.163378656560596</v>
      </c>
      <c r="Q181" s="4" t="n">
        <f aca="false">RANK(N181,$N$7:$N$307,0)</f>
        <v>175</v>
      </c>
      <c r="R181" s="4" t="n">
        <f aca="false">RANK(O181,$O$7:$O$307,1)</f>
        <v>92</v>
      </c>
      <c r="S181" s="4" t="n">
        <f aca="false">RANK(J181,$J$7:$J$307,0)</f>
        <v>189</v>
      </c>
      <c r="T181" s="4" t="str">
        <f aca="false">IF(O181&lt;0.05,"YES","no")</f>
        <v>no</v>
      </c>
      <c r="U181" s="4" t="str">
        <f aca="false">IF(P181&lt;0.05,"YES","no")</f>
        <v>no</v>
      </c>
      <c r="V181" s="4" t="str">
        <f aca="false">IF(N181&gt;1,"YES","no")</f>
        <v>no</v>
      </c>
    </row>
    <row r="182" customFormat="false" ht="15" hidden="false" customHeight="false" outlineLevel="0" collapsed="false">
      <c r="A182" s="4" t="s">
        <v>272</v>
      </c>
      <c r="B182" s="4"/>
      <c r="C182" s="4" t="s">
        <v>72</v>
      </c>
      <c r="D182" s="8" t="n">
        <v>417.1188</v>
      </c>
      <c r="E182" s="9" t="n">
        <v>6.824</v>
      </c>
      <c r="F182" s="10" t="n">
        <v>244694.621148568</v>
      </c>
      <c r="G182" s="10" t="n">
        <v>132800.761105837</v>
      </c>
      <c r="H182" s="10" t="n">
        <v>562130.150318862</v>
      </c>
      <c r="I182" s="10" t="n">
        <v>184190.939853882</v>
      </c>
      <c r="J182" s="10" t="n">
        <v>403412.385733715</v>
      </c>
      <c r="K182" s="11" t="n">
        <v>2.29727219862982</v>
      </c>
      <c r="L182" s="11" t="n">
        <v>1.19992180854318</v>
      </c>
      <c r="M182" s="11" t="n">
        <v>0.734649863206129</v>
      </c>
      <c r="N182" s="11" t="n">
        <v>0.170345237857497</v>
      </c>
      <c r="O182" s="12" t="n">
        <v>0.007463878779676</v>
      </c>
      <c r="P182" s="12" t="n">
        <v>0.0807692088686714</v>
      </c>
      <c r="Q182" s="4" t="n">
        <f aca="false">RANK(N182,$N$7:$N$307,0)</f>
        <v>176</v>
      </c>
      <c r="R182" s="4" t="n">
        <f aca="false">RANK(O182,$O$7:$O$307,1)</f>
        <v>23</v>
      </c>
      <c r="S182" s="4" t="n">
        <f aca="false">RANK(J182,$J$7:$J$307,0)</f>
        <v>216</v>
      </c>
      <c r="T182" s="4" t="str">
        <f aca="false">IF(O182&lt;0.05,"YES","no")</f>
        <v>YES</v>
      </c>
      <c r="U182" s="4" t="str">
        <f aca="false">IF(P182&lt;0.05,"YES","no")</f>
        <v>no</v>
      </c>
      <c r="V182" s="4" t="str">
        <f aca="false">IF(N182&gt;1,"YES","no")</f>
        <v>no</v>
      </c>
    </row>
    <row r="183" customFormat="false" ht="15" hidden="false" customHeight="false" outlineLevel="0" collapsed="false">
      <c r="A183" s="4" t="s">
        <v>273</v>
      </c>
      <c r="B183" s="4"/>
      <c r="C183" s="4" t="s">
        <v>72</v>
      </c>
      <c r="D183" s="8" t="n">
        <v>165.01942</v>
      </c>
      <c r="E183" s="9" t="n">
        <v>8.62</v>
      </c>
      <c r="F183" s="10" t="n">
        <v>1274962.9978787</v>
      </c>
      <c r="G183" s="10" t="n">
        <v>502010.227555756</v>
      </c>
      <c r="H183" s="10" t="n">
        <v>1297979.28908927</v>
      </c>
      <c r="I183" s="10" t="n">
        <v>145435.181529706</v>
      </c>
      <c r="J183" s="10" t="n">
        <v>1286471.14348398</v>
      </c>
      <c r="K183" s="11" t="n">
        <v>1.01805251701334</v>
      </c>
      <c r="L183" s="11" t="n">
        <v>0.0258119858541228</v>
      </c>
      <c r="M183" s="11" t="n">
        <v>0.0340914439352095</v>
      </c>
      <c r="N183" s="11" t="n">
        <v>0.167607844364488</v>
      </c>
      <c r="O183" s="12" t="n">
        <v>0.917713476384487</v>
      </c>
      <c r="P183" s="12" t="n">
        <v>0.94277049963048</v>
      </c>
      <c r="Q183" s="4" t="n">
        <f aca="false">RANK(N183,$N$7:$N$307,0)</f>
        <v>177</v>
      </c>
      <c r="R183" s="4" t="n">
        <f aca="false">RANK(O183,$O$7:$O$307,1)</f>
        <v>293</v>
      </c>
      <c r="S183" s="4" t="n">
        <f aca="false">RANK(J183,$J$7:$J$307,0)</f>
        <v>161</v>
      </c>
      <c r="T183" s="4" t="str">
        <f aca="false">IF(O183&lt;0.05,"YES","no")</f>
        <v>no</v>
      </c>
      <c r="U183" s="4" t="str">
        <f aca="false">IF(P183&lt;0.05,"YES","no")</f>
        <v>no</v>
      </c>
      <c r="V183" s="4" t="str">
        <f aca="false">IF(N183&gt;1,"YES","no")</f>
        <v>no</v>
      </c>
    </row>
    <row r="184" customFormat="false" ht="15" hidden="false" customHeight="false" outlineLevel="0" collapsed="false">
      <c r="A184" s="4" t="s">
        <v>274</v>
      </c>
      <c r="B184" s="4"/>
      <c r="C184" s="4" t="s">
        <v>72</v>
      </c>
      <c r="D184" s="8" t="n">
        <v>263.13899</v>
      </c>
      <c r="E184" s="9" t="n">
        <v>6.847</v>
      </c>
      <c r="F184" s="10" t="n">
        <v>275308.434744309</v>
      </c>
      <c r="G184" s="10" t="n">
        <v>96741.0634629419</v>
      </c>
      <c r="H184" s="10" t="n">
        <v>579480.851720035</v>
      </c>
      <c r="I184" s="10" t="n">
        <v>197799.5535252</v>
      </c>
      <c r="J184" s="10" t="n">
        <v>427394.643232172</v>
      </c>
      <c r="K184" s="11" t="n">
        <v>2.10484234621516</v>
      </c>
      <c r="L184" s="11" t="n">
        <v>1.07371217873049</v>
      </c>
      <c r="M184" s="11" t="n">
        <v>0.730612520758001</v>
      </c>
      <c r="N184" s="11" t="n">
        <v>0.166714952117908</v>
      </c>
      <c r="O184" s="12" t="n">
        <v>0.0110692369193252</v>
      </c>
      <c r="P184" s="12" t="n">
        <v>0.0807692088686714</v>
      </c>
      <c r="Q184" s="4" t="n">
        <f aca="false">RANK(N184,$N$7:$N$307,0)</f>
        <v>178</v>
      </c>
      <c r="R184" s="4" t="n">
        <f aca="false">RANK(O184,$O$7:$O$307,1)</f>
        <v>40</v>
      </c>
      <c r="S184" s="4" t="n">
        <f aca="false">RANK(J184,$J$7:$J$307,0)</f>
        <v>210</v>
      </c>
      <c r="T184" s="4" t="str">
        <f aca="false">IF(O184&lt;0.05,"YES","no")</f>
        <v>YES</v>
      </c>
      <c r="U184" s="4" t="str">
        <f aca="false">IF(P184&lt;0.05,"YES","no")</f>
        <v>no</v>
      </c>
      <c r="V184" s="4" t="str">
        <f aca="false">IF(N184&gt;1,"YES","no")</f>
        <v>no</v>
      </c>
    </row>
    <row r="185" customFormat="false" ht="15" hidden="false" customHeight="false" outlineLevel="0" collapsed="false">
      <c r="A185" s="4" t="s">
        <v>275</v>
      </c>
      <c r="B185" s="4"/>
      <c r="C185" s="4" t="s">
        <v>72</v>
      </c>
      <c r="D185" s="8" t="n">
        <v>324.05918</v>
      </c>
      <c r="E185" s="9" t="n">
        <v>10.414</v>
      </c>
      <c r="F185" s="10" t="n">
        <v>1480704.6847961</v>
      </c>
      <c r="G185" s="10" t="n">
        <v>514807.783321488</v>
      </c>
      <c r="H185" s="10" t="n">
        <v>1322443.29111547</v>
      </c>
      <c r="I185" s="10" t="n">
        <v>276909.544751757</v>
      </c>
      <c r="J185" s="10" t="n">
        <v>1401573.98795578</v>
      </c>
      <c r="K185" s="11" t="n">
        <v>0.893117516743434</v>
      </c>
      <c r="L185" s="11" t="n">
        <v>-0.163078076687156</v>
      </c>
      <c r="M185" s="11" t="n">
        <v>0.205247742547099</v>
      </c>
      <c r="N185" s="11" t="n">
        <v>0.163831655645992</v>
      </c>
      <c r="O185" s="12" t="n">
        <v>0.526646482668945</v>
      </c>
      <c r="P185" s="12" t="n">
        <v>0.670559155578026</v>
      </c>
      <c r="Q185" s="4" t="n">
        <f aca="false">RANK(N185,$N$7:$N$307,0)</f>
        <v>179</v>
      </c>
      <c r="R185" s="4" t="n">
        <f aca="false">RANK(O185,$O$7:$O$307,1)</f>
        <v>235</v>
      </c>
      <c r="S185" s="4" t="n">
        <f aca="false">RANK(J185,$J$7:$J$307,0)</f>
        <v>156</v>
      </c>
      <c r="T185" s="4" t="str">
        <f aca="false">IF(O185&lt;0.05,"YES","no")</f>
        <v>no</v>
      </c>
      <c r="U185" s="4" t="str">
        <f aca="false">IF(P185&lt;0.05,"YES","no")</f>
        <v>no</v>
      </c>
      <c r="V185" s="4" t="str">
        <f aca="false">IF(N185&gt;1,"YES","no")</f>
        <v>no</v>
      </c>
    </row>
    <row r="186" customFormat="false" ht="15" hidden="false" customHeight="false" outlineLevel="0" collapsed="false">
      <c r="A186" s="4" t="s">
        <v>276</v>
      </c>
      <c r="B186" s="4"/>
      <c r="C186" s="4" t="s">
        <v>72</v>
      </c>
      <c r="D186" s="8" t="n">
        <v>203.05258</v>
      </c>
      <c r="E186" s="9" t="n">
        <v>10.569</v>
      </c>
      <c r="F186" s="10" t="n">
        <v>604801.248866478</v>
      </c>
      <c r="G186" s="10" t="n">
        <v>188803.852251314</v>
      </c>
      <c r="H186" s="10" t="n">
        <v>813215.915600834</v>
      </c>
      <c r="I186" s="10" t="n">
        <v>150599.079032636</v>
      </c>
      <c r="J186" s="10" t="n">
        <v>709008.582233656</v>
      </c>
      <c r="K186" s="11" t="n">
        <v>1.34460025855596</v>
      </c>
      <c r="L186" s="11" t="n">
        <v>0.427177332100936</v>
      </c>
      <c r="M186" s="11" t="n">
        <v>0.555726403681106</v>
      </c>
      <c r="N186" s="11" t="n">
        <v>0.160456110216385</v>
      </c>
      <c r="O186" s="12" t="n">
        <v>0.0619930742524691</v>
      </c>
      <c r="P186" s="12" t="n">
        <v>0.172868249839214</v>
      </c>
      <c r="Q186" s="4" t="n">
        <f aca="false">RANK(N186,$N$7:$N$307,0)</f>
        <v>180</v>
      </c>
      <c r="R186" s="4" t="n">
        <f aca="false">RANK(O186,$O$7:$O$307,1)</f>
        <v>106</v>
      </c>
      <c r="S186" s="4" t="n">
        <f aca="false">RANK(J186,$J$7:$J$307,0)</f>
        <v>185</v>
      </c>
      <c r="T186" s="4" t="str">
        <f aca="false">IF(O186&lt;0.05,"YES","no")</f>
        <v>no</v>
      </c>
      <c r="U186" s="4" t="str">
        <f aca="false">IF(P186&lt;0.05,"YES","no")</f>
        <v>no</v>
      </c>
      <c r="V186" s="4" t="str">
        <f aca="false">IF(N186&gt;1,"YES","no")</f>
        <v>no</v>
      </c>
    </row>
    <row r="187" customFormat="false" ht="15" hidden="false" customHeight="false" outlineLevel="0" collapsed="false">
      <c r="A187" s="4" t="s">
        <v>277</v>
      </c>
      <c r="B187" s="4" t="s">
        <v>278</v>
      </c>
      <c r="C187" s="4" t="s">
        <v>72</v>
      </c>
      <c r="D187" s="8" t="n">
        <v>141.06581</v>
      </c>
      <c r="E187" s="9" t="n">
        <v>8.483</v>
      </c>
      <c r="F187" s="10" t="n">
        <v>1261072.46517143</v>
      </c>
      <c r="G187" s="10" t="n">
        <v>248394.579868487</v>
      </c>
      <c r="H187" s="10" t="n">
        <v>1813227.63552133</v>
      </c>
      <c r="I187" s="10" t="n">
        <v>979389.26721826</v>
      </c>
      <c r="J187" s="10" t="n">
        <v>1537150.05034638</v>
      </c>
      <c r="K187" s="11" t="n">
        <v>1.43784571117001</v>
      </c>
      <c r="L187" s="11" t="n">
        <v>0.523908874892561</v>
      </c>
      <c r="M187" s="11" t="n">
        <v>0.389811345774438</v>
      </c>
      <c r="N187" s="11" t="n">
        <v>0.159776119711052</v>
      </c>
      <c r="O187" s="12" t="n">
        <v>0.232130030739734</v>
      </c>
      <c r="P187" s="12" t="n">
        <v>0.394664727066493</v>
      </c>
      <c r="Q187" s="4" t="n">
        <f aca="false">RANK(N187,$N$7:$N$307,0)</f>
        <v>181</v>
      </c>
      <c r="R187" s="4" t="n">
        <f aca="false">RANK(O187,$O$7:$O$307,1)</f>
        <v>177</v>
      </c>
      <c r="S187" s="4" t="n">
        <f aca="false">RANK(J187,$J$7:$J$307,0)</f>
        <v>152</v>
      </c>
      <c r="T187" s="4" t="str">
        <f aca="false">IF(O187&lt;0.05,"YES","no")</f>
        <v>no</v>
      </c>
      <c r="U187" s="4" t="str">
        <f aca="false">IF(P187&lt;0.05,"YES","no")</f>
        <v>no</v>
      </c>
      <c r="V187" s="4" t="str">
        <f aca="false">IF(N187&gt;1,"YES","no")</f>
        <v>no</v>
      </c>
    </row>
    <row r="188" customFormat="false" ht="15" hidden="false" customHeight="false" outlineLevel="0" collapsed="false">
      <c r="A188" s="4" t="s">
        <v>279</v>
      </c>
      <c r="B188" s="4"/>
      <c r="C188" s="4" t="s">
        <v>61</v>
      </c>
      <c r="D188" s="8" t="n">
        <v>402.99448</v>
      </c>
      <c r="E188" s="9" t="n">
        <v>10.398</v>
      </c>
      <c r="F188" s="10" t="n">
        <v>396530.582413414</v>
      </c>
      <c r="G188" s="10" t="n">
        <v>263143.529372407</v>
      </c>
      <c r="H188" s="10" t="n">
        <v>413668.94375828</v>
      </c>
      <c r="I188" s="10" t="n">
        <v>203243.132316072</v>
      </c>
      <c r="J188" s="10" t="n">
        <v>405099.763085847</v>
      </c>
      <c r="K188" s="11" t="n">
        <v>1.04322078070387</v>
      </c>
      <c r="L188" s="11" t="n">
        <v>0.0610445131016931</v>
      </c>
      <c r="M188" s="11" t="n">
        <v>0.0398946968246835</v>
      </c>
      <c r="N188" s="11" t="n">
        <v>0.158333411781552</v>
      </c>
      <c r="O188" s="12" t="n">
        <v>0.902186803803847</v>
      </c>
      <c r="P188" s="12" t="n">
        <v>0.939647847560408</v>
      </c>
      <c r="Q188" s="4" t="n">
        <f aca="false">RANK(N188,$N$7:$N$307,0)</f>
        <v>182</v>
      </c>
      <c r="R188" s="4" t="n">
        <f aca="false">RANK(O188,$O$7:$O$307,1)</f>
        <v>289</v>
      </c>
      <c r="S188" s="4" t="n">
        <f aca="false">RANK(J188,$J$7:$J$307,0)</f>
        <v>215</v>
      </c>
      <c r="T188" s="4" t="str">
        <f aca="false">IF(O188&lt;0.05,"YES","no")</f>
        <v>no</v>
      </c>
      <c r="U188" s="4" t="str">
        <f aca="false">IF(P188&lt;0.05,"YES","no")</f>
        <v>no</v>
      </c>
      <c r="V188" s="4" t="str">
        <f aca="false">IF(N188&gt;1,"YES","no")</f>
        <v>no</v>
      </c>
    </row>
    <row r="189" customFormat="false" ht="15" hidden="false" customHeight="false" outlineLevel="0" collapsed="false">
      <c r="A189" s="4" t="s">
        <v>280</v>
      </c>
      <c r="B189" s="4"/>
      <c r="C189" s="4" t="s">
        <v>72</v>
      </c>
      <c r="D189" s="8" t="n">
        <v>341.10865</v>
      </c>
      <c r="E189" s="9" t="n">
        <v>11.556</v>
      </c>
      <c r="F189" s="10" t="n">
        <v>246770.494361231</v>
      </c>
      <c r="G189" s="10" t="n">
        <v>195392.587302699</v>
      </c>
      <c r="H189" s="10" t="n">
        <v>524441.939924609</v>
      </c>
      <c r="I189" s="10" t="n">
        <v>331335.701440398</v>
      </c>
      <c r="J189" s="10" t="n">
        <v>385606.21714292</v>
      </c>
      <c r="K189" s="11" t="n">
        <v>2.12522141790952</v>
      </c>
      <c r="L189" s="11" t="n">
        <v>1.08761315742868</v>
      </c>
      <c r="M189" s="11" t="n">
        <v>0.488041901814444</v>
      </c>
      <c r="N189" s="11" t="n">
        <v>0.147217468338631</v>
      </c>
      <c r="O189" s="12" t="n">
        <v>0.114525771820318</v>
      </c>
      <c r="P189" s="12" t="n">
        <v>0.253472480278791</v>
      </c>
      <c r="Q189" s="4" t="n">
        <f aca="false">RANK(N189,$N$7:$N$307,0)</f>
        <v>183</v>
      </c>
      <c r="R189" s="4" t="n">
        <f aca="false">RANK(O189,$O$7:$O$307,1)</f>
        <v>136</v>
      </c>
      <c r="S189" s="4" t="n">
        <f aca="false">RANK(J189,$J$7:$J$307,0)</f>
        <v>220</v>
      </c>
      <c r="T189" s="4" t="str">
        <f aca="false">IF(O189&lt;0.05,"YES","no")</f>
        <v>no</v>
      </c>
      <c r="U189" s="4" t="str">
        <f aca="false">IF(P189&lt;0.05,"YES","no")</f>
        <v>no</v>
      </c>
      <c r="V189" s="4" t="str">
        <f aca="false">IF(N189&gt;1,"YES","no")</f>
        <v>no</v>
      </c>
    </row>
    <row r="190" customFormat="false" ht="15" hidden="false" customHeight="false" outlineLevel="0" collapsed="false">
      <c r="A190" s="4" t="s">
        <v>281</v>
      </c>
      <c r="B190" s="4" t="s">
        <v>282</v>
      </c>
      <c r="C190" s="4" t="s">
        <v>72</v>
      </c>
      <c r="D190" s="8" t="n">
        <v>135.04506</v>
      </c>
      <c r="E190" s="9" t="n">
        <v>6.688</v>
      </c>
      <c r="F190" s="10" t="n">
        <v>6039071.30205102</v>
      </c>
      <c r="G190" s="10" t="n">
        <v>2094956.74436472</v>
      </c>
      <c r="H190" s="10" t="n">
        <v>6396135.16872812</v>
      </c>
      <c r="I190" s="10" t="n">
        <v>1845107.54124783</v>
      </c>
      <c r="J190" s="10" t="n">
        <v>6217603.23538957</v>
      </c>
      <c r="K190" s="11" t="n">
        <v>1.05912562525232</v>
      </c>
      <c r="L190" s="11" t="n">
        <v>0.0828737207556783</v>
      </c>
      <c r="M190" s="11" t="n">
        <v>0.0985917827462646</v>
      </c>
      <c r="N190" s="11" t="n">
        <v>0.146485742709482</v>
      </c>
      <c r="O190" s="12" t="n">
        <v>0.760589965282584</v>
      </c>
      <c r="P190" s="12" t="n">
        <v>0.843694395144289</v>
      </c>
      <c r="Q190" s="4" t="n">
        <f aca="false">RANK(N190,$N$7:$N$307,0)</f>
        <v>184</v>
      </c>
      <c r="R190" s="4" t="n">
        <f aca="false">RANK(O190,$O$7:$O$307,1)</f>
        <v>271</v>
      </c>
      <c r="S190" s="4" t="n">
        <f aca="false">RANK(J190,$J$7:$J$307,0)</f>
        <v>91</v>
      </c>
      <c r="T190" s="4" t="str">
        <f aca="false">IF(O190&lt;0.05,"YES","no")</f>
        <v>no</v>
      </c>
      <c r="U190" s="4" t="str">
        <f aca="false">IF(P190&lt;0.05,"YES","no")</f>
        <v>no</v>
      </c>
      <c r="V190" s="4" t="str">
        <f aca="false">IF(N190&gt;1,"YES","no")</f>
        <v>no</v>
      </c>
    </row>
    <row r="191" customFormat="false" ht="15" hidden="false" customHeight="false" outlineLevel="0" collapsed="false">
      <c r="A191" s="4" t="s">
        <v>283</v>
      </c>
      <c r="B191" s="4"/>
      <c r="C191" s="4" t="s">
        <v>72</v>
      </c>
      <c r="D191" s="8" t="n">
        <v>405.00966</v>
      </c>
      <c r="E191" s="9" t="n">
        <v>8.863</v>
      </c>
      <c r="F191" s="10" t="n">
        <v>273901.071142785</v>
      </c>
      <c r="G191" s="10" t="n">
        <v>67257.0613612051</v>
      </c>
      <c r="H191" s="10" t="n">
        <v>449549.226050226</v>
      </c>
      <c r="I191" s="10" t="n">
        <v>28930.2045918293</v>
      </c>
      <c r="J191" s="10" t="n">
        <v>361725.148596505</v>
      </c>
      <c r="K191" s="11" t="n">
        <v>1.64128319825327</v>
      </c>
      <c r="L191" s="11" t="n">
        <v>0.714824192821721</v>
      </c>
      <c r="M191" s="11" t="n">
        <v>0.880595228142915</v>
      </c>
      <c r="N191" s="11" t="n">
        <v>0.146476152601959</v>
      </c>
      <c r="O191" s="12" t="n">
        <v>0.000687368520041265</v>
      </c>
      <c r="P191" s="12" t="n">
        <v>0.0635709329196314</v>
      </c>
      <c r="Q191" s="4" t="n">
        <f aca="false">RANK(N191,$N$7:$N$307,0)</f>
        <v>185</v>
      </c>
      <c r="R191" s="4" t="n">
        <f aca="false">RANK(O191,$O$7:$O$307,1)</f>
        <v>2</v>
      </c>
      <c r="S191" s="4" t="n">
        <f aca="false">RANK(J191,$J$7:$J$307,0)</f>
        <v>224</v>
      </c>
      <c r="T191" s="4" t="str">
        <f aca="false">IF(O191&lt;0.05,"YES","no")</f>
        <v>YES</v>
      </c>
      <c r="U191" s="4" t="str">
        <f aca="false">IF(P191&lt;0.05,"YES","no")</f>
        <v>no</v>
      </c>
      <c r="V191" s="4" t="str">
        <f aca="false">IF(N191&gt;1,"YES","no")</f>
        <v>no</v>
      </c>
    </row>
    <row r="192" customFormat="false" ht="15" hidden="false" customHeight="false" outlineLevel="0" collapsed="false">
      <c r="A192" s="4" t="s">
        <v>284</v>
      </c>
      <c r="B192" s="4"/>
      <c r="C192" s="4" t="s">
        <v>72</v>
      </c>
      <c r="D192" s="8" t="n">
        <v>403.55546</v>
      </c>
      <c r="E192" s="9" t="n">
        <v>8.307</v>
      </c>
      <c r="F192" s="10" t="n">
        <v>166714.073902872</v>
      </c>
      <c r="G192" s="10" t="n">
        <v>143359.201812217</v>
      </c>
      <c r="H192" s="10" t="n">
        <v>107353.580062037</v>
      </c>
      <c r="I192" s="10" t="n">
        <v>53678.9536424181</v>
      </c>
      <c r="J192" s="10" t="n">
        <v>137033.826982454</v>
      </c>
      <c r="K192" s="11" t="n">
        <v>0.643938316357032</v>
      </c>
      <c r="L192" s="11" t="n">
        <v>-0.635005597460424</v>
      </c>
      <c r="M192" s="11" t="n">
        <v>0.287672930024218</v>
      </c>
      <c r="N192" s="11" t="n">
        <v>0.145919294231513</v>
      </c>
      <c r="O192" s="12" t="n">
        <v>0.376793467383521</v>
      </c>
      <c r="P192" s="12" t="n">
        <v>0.534975630577546</v>
      </c>
      <c r="Q192" s="4" t="n">
        <f aca="false">RANK(N192,$N$7:$N$307,0)</f>
        <v>186</v>
      </c>
      <c r="R192" s="4" t="n">
        <f aca="false">RANK(O192,$O$7:$O$307,1)</f>
        <v>212</v>
      </c>
      <c r="S192" s="4" t="n">
        <f aca="false">RANK(J192,$J$7:$J$307,0)</f>
        <v>266</v>
      </c>
      <c r="T192" s="4" t="str">
        <f aca="false">IF(O192&lt;0.05,"YES","no")</f>
        <v>no</v>
      </c>
      <c r="U192" s="4" t="str">
        <f aca="false">IF(P192&lt;0.05,"YES","no")</f>
        <v>no</v>
      </c>
      <c r="V192" s="4" t="str">
        <f aca="false">IF(N192&gt;1,"YES","no")</f>
        <v>no</v>
      </c>
    </row>
    <row r="193" customFormat="false" ht="15" hidden="false" customHeight="false" outlineLevel="0" collapsed="false">
      <c r="A193" s="4" t="s">
        <v>285</v>
      </c>
      <c r="B193" s="4"/>
      <c r="C193" s="4" t="s">
        <v>72</v>
      </c>
      <c r="D193" s="8" t="n">
        <v>306.06015</v>
      </c>
      <c r="E193" s="9" t="n">
        <v>9.197</v>
      </c>
      <c r="F193" s="10" t="n">
        <v>193320.159031969</v>
      </c>
      <c r="G193" s="10" t="n">
        <v>194188.527286296</v>
      </c>
      <c r="H193" s="10" t="n">
        <v>101628.619473653</v>
      </c>
      <c r="I193" s="10" t="n">
        <v>61352.7011537353</v>
      </c>
      <c r="J193" s="10" t="n">
        <v>147474.389252811</v>
      </c>
      <c r="K193" s="11" t="n">
        <v>0.52570109595682</v>
      </c>
      <c r="L193" s="11" t="n">
        <v>-0.927685352311945</v>
      </c>
      <c r="M193" s="11" t="n">
        <v>0.329302919705527</v>
      </c>
      <c r="N193" s="11" t="n">
        <v>0.144681547142573</v>
      </c>
      <c r="O193" s="12" t="n">
        <v>0.312425237376442</v>
      </c>
      <c r="P193" s="12" t="n">
        <v>0.482256392052867</v>
      </c>
      <c r="Q193" s="4" t="n">
        <f aca="false">RANK(N193,$N$7:$N$307,0)</f>
        <v>187</v>
      </c>
      <c r="R193" s="4" t="n">
        <f aca="false">RANK(O193,$O$7:$O$307,1)</f>
        <v>195</v>
      </c>
      <c r="S193" s="4" t="n">
        <f aca="false">RANK(J193,$J$7:$J$307,0)</f>
        <v>263</v>
      </c>
      <c r="T193" s="4" t="str">
        <f aca="false">IF(O193&lt;0.05,"YES","no")</f>
        <v>no</v>
      </c>
      <c r="U193" s="4" t="str">
        <f aca="false">IF(P193&lt;0.05,"YES","no")</f>
        <v>no</v>
      </c>
      <c r="V193" s="4" t="str">
        <f aca="false">IF(N193&gt;1,"YES","no")</f>
        <v>no</v>
      </c>
    </row>
    <row r="194" customFormat="false" ht="15" hidden="false" customHeight="false" outlineLevel="0" collapsed="false">
      <c r="A194" s="4" t="s">
        <v>286</v>
      </c>
      <c r="B194" s="4"/>
      <c r="C194" s="4" t="s">
        <v>72</v>
      </c>
      <c r="D194" s="8" t="n">
        <v>128.03519</v>
      </c>
      <c r="E194" s="9" t="n">
        <v>8.222</v>
      </c>
      <c r="F194" s="10" t="n">
        <v>747596.07165521</v>
      </c>
      <c r="G194" s="10" t="n">
        <v>241741.046438452</v>
      </c>
      <c r="H194" s="10" t="n">
        <v>1068729.52613641</v>
      </c>
      <c r="I194" s="10" t="n">
        <v>266749.912029931</v>
      </c>
      <c r="J194" s="10" t="n">
        <v>908162.798895809</v>
      </c>
      <c r="K194" s="11" t="n">
        <v>1.42955476447354</v>
      </c>
      <c r="L194" s="11" t="n">
        <v>0.515565888888928</v>
      </c>
      <c r="M194" s="11" t="n">
        <v>0.568473867903295</v>
      </c>
      <c r="N194" s="11" t="n">
        <v>0.14380508346927</v>
      </c>
      <c r="O194" s="12" t="n">
        <v>0.0540334865342678</v>
      </c>
      <c r="P194" s="12" t="n">
        <v>0.168636667429924</v>
      </c>
      <c r="Q194" s="4" t="n">
        <f aca="false">RANK(N194,$N$7:$N$307,0)</f>
        <v>188</v>
      </c>
      <c r="R194" s="4" t="n">
        <f aca="false">RANK(O194,$O$7:$O$307,1)</f>
        <v>96</v>
      </c>
      <c r="S194" s="4" t="n">
        <f aca="false">RANK(J194,$J$7:$J$307,0)</f>
        <v>174</v>
      </c>
      <c r="T194" s="4" t="str">
        <f aca="false">IF(O194&lt;0.05,"YES","no")</f>
        <v>no</v>
      </c>
      <c r="U194" s="4" t="str">
        <f aca="false">IF(P194&lt;0.05,"YES","no")</f>
        <v>no</v>
      </c>
      <c r="V194" s="4" t="str">
        <f aca="false">IF(N194&gt;1,"YES","no")</f>
        <v>no</v>
      </c>
    </row>
    <row r="195" customFormat="false" ht="15" hidden="false" customHeight="false" outlineLevel="0" collapsed="false">
      <c r="A195" s="4" t="s">
        <v>287</v>
      </c>
      <c r="B195" s="4" t="s">
        <v>142</v>
      </c>
      <c r="C195" s="4" t="s">
        <v>61</v>
      </c>
      <c r="D195" s="8" t="n">
        <v>606.07521</v>
      </c>
      <c r="E195" s="9" t="n">
        <v>8.336</v>
      </c>
      <c r="F195" s="10" t="n">
        <v>197088.865054044</v>
      </c>
      <c r="G195" s="10" t="n">
        <v>135175.894801387</v>
      </c>
      <c r="H195" s="10" t="n">
        <v>434473.113709664</v>
      </c>
      <c r="I195" s="10" t="n">
        <v>111129.501299552</v>
      </c>
      <c r="J195" s="10" t="n">
        <v>315780.989381854</v>
      </c>
      <c r="K195" s="11" t="n">
        <v>2.20445286744397</v>
      </c>
      <c r="L195" s="11" t="n">
        <v>1.14042063157749</v>
      </c>
      <c r="M195" s="11" t="n">
        <v>0.72439117966573</v>
      </c>
      <c r="N195" s="11" t="n">
        <v>0.143197805113934</v>
      </c>
      <c r="O195" s="12" t="n">
        <v>0.0081021413973796</v>
      </c>
      <c r="P195" s="12" t="n">
        <v>0.0807692088686714</v>
      </c>
      <c r="Q195" s="4" t="n">
        <f aca="false">RANK(N195,$N$7:$N$307,0)</f>
        <v>189</v>
      </c>
      <c r="R195" s="4" t="n">
        <f aca="false">RANK(O195,$O$7:$O$307,1)</f>
        <v>27</v>
      </c>
      <c r="S195" s="4" t="n">
        <f aca="false">RANK(J195,$J$7:$J$307,0)</f>
        <v>230</v>
      </c>
      <c r="T195" s="4" t="str">
        <f aca="false">IF(O195&lt;0.05,"YES","no")</f>
        <v>YES</v>
      </c>
      <c r="U195" s="4" t="str">
        <f aca="false">IF(P195&lt;0.05,"YES","no")</f>
        <v>no</v>
      </c>
      <c r="V195" s="4" t="str">
        <f aca="false">IF(N195&gt;1,"YES","no")</f>
        <v>no</v>
      </c>
    </row>
    <row r="196" customFormat="false" ht="15" hidden="false" customHeight="false" outlineLevel="0" collapsed="false">
      <c r="A196" s="4" t="s">
        <v>288</v>
      </c>
      <c r="B196" s="4"/>
      <c r="C196" s="4" t="s">
        <v>61</v>
      </c>
      <c r="D196" s="8" t="n">
        <v>426.02229</v>
      </c>
      <c r="E196" s="9" t="n">
        <v>10.983</v>
      </c>
      <c r="F196" s="10" t="n">
        <v>1100770.20583997</v>
      </c>
      <c r="G196" s="10" t="n">
        <v>717847.85062592</v>
      </c>
      <c r="H196" s="10" t="n">
        <v>1589560.67497416</v>
      </c>
      <c r="I196" s="10" t="n">
        <v>1132939.67737321</v>
      </c>
      <c r="J196" s="10" t="n">
        <v>1345165.44040706</v>
      </c>
      <c r="K196" s="11" t="n">
        <v>1.44404405800682</v>
      </c>
      <c r="L196" s="11" t="n">
        <v>0.530114759744676</v>
      </c>
      <c r="M196" s="11" t="n">
        <v>0.271675539566331</v>
      </c>
      <c r="N196" s="11" t="n">
        <v>0.140084359413</v>
      </c>
      <c r="O196" s="12" t="n">
        <v>0.396712704967559</v>
      </c>
      <c r="P196" s="12" t="n">
        <v>0.547754698143281</v>
      </c>
      <c r="Q196" s="4" t="n">
        <f aca="false">RANK(N196,$N$7:$N$307,0)</f>
        <v>190</v>
      </c>
      <c r="R196" s="4" t="n">
        <f aca="false">RANK(O196,$O$7:$O$307,1)</f>
        <v>218</v>
      </c>
      <c r="S196" s="4" t="n">
        <f aca="false">RANK(J196,$J$7:$J$307,0)</f>
        <v>159</v>
      </c>
      <c r="T196" s="4" t="str">
        <f aca="false">IF(O196&lt;0.05,"YES","no")</f>
        <v>no</v>
      </c>
      <c r="U196" s="4" t="str">
        <f aca="false">IF(P196&lt;0.05,"YES","no")</f>
        <v>no</v>
      </c>
      <c r="V196" s="4" t="str">
        <f aca="false">IF(N196&gt;1,"YES","no")</f>
        <v>no</v>
      </c>
    </row>
    <row r="197" customFormat="false" ht="15" hidden="false" customHeight="false" outlineLevel="0" collapsed="false">
      <c r="A197" s="4" t="s">
        <v>289</v>
      </c>
      <c r="B197" s="4"/>
      <c r="C197" s="4" t="s">
        <v>61</v>
      </c>
      <c r="D197" s="8" t="n">
        <v>184.06037</v>
      </c>
      <c r="E197" s="9" t="n">
        <v>4.688</v>
      </c>
      <c r="F197" s="10" t="n">
        <v>512299.065624956</v>
      </c>
      <c r="G197" s="10" t="n">
        <v>531704.040659973</v>
      </c>
      <c r="H197" s="10" t="n">
        <v>772732.298272533</v>
      </c>
      <c r="I197" s="10" t="n">
        <v>402805.017356787</v>
      </c>
      <c r="J197" s="10" t="n">
        <v>642515.681948745</v>
      </c>
      <c r="K197" s="11" t="n">
        <v>1.50836171705657</v>
      </c>
      <c r="L197" s="11" t="n">
        <v>0.592982439765161</v>
      </c>
      <c r="M197" s="11" t="n">
        <v>0.289472619442691</v>
      </c>
      <c r="N197" s="11" t="n">
        <v>0.138853615049107</v>
      </c>
      <c r="O197" s="12" t="n">
        <v>0.363056579586619</v>
      </c>
      <c r="P197" s="12" t="n">
        <v>0.527922852442378</v>
      </c>
      <c r="Q197" s="4" t="n">
        <f aca="false">RANK(N197,$N$7:$N$307,0)</f>
        <v>191</v>
      </c>
      <c r="R197" s="4" t="n">
        <f aca="false">RANK(O197,$O$7:$O$307,1)</f>
        <v>207</v>
      </c>
      <c r="S197" s="4" t="n">
        <f aca="false">RANK(J197,$J$7:$J$307,0)</f>
        <v>190</v>
      </c>
      <c r="T197" s="4" t="str">
        <f aca="false">IF(O197&lt;0.05,"YES","no")</f>
        <v>no</v>
      </c>
      <c r="U197" s="4" t="str">
        <f aca="false">IF(P197&lt;0.05,"YES","no")</f>
        <v>no</v>
      </c>
      <c r="V197" s="4" t="str">
        <f aca="false">IF(N197&gt;1,"YES","no")</f>
        <v>no</v>
      </c>
    </row>
    <row r="198" customFormat="false" ht="15" hidden="false" customHeight="false" outlineLevel="0" collapsed="false">
      <c r="A198" s="4" t="s">
        <v>290</v>
      </c>
      <c r="B198" s="4"/>
      <c r="C198" s="4" t="s">
        <v>72</v>
      </c>
      <c r="D198" s="8" t="n">
        <v>382.55025</v>
      </c>
      <c r="E198" s="9" t="n">
        <v>8.732</v>
      </c>
      <c r="F198" s="10" t="n">
        <v>479012.612930776</v>
      </c>
      <c r="G198" s="10" t="n">
        <v>316526.504828878</v>
      </c>
      <c r="H198" s="10" t="n">
        <v>531186.432458314</v>
      </c>
      <c r="I198" s="10" t="n">
        <v>213936.248859626</v>
      </c>
      <c r="J198" s="10" t="n">
        <v>505099.522694545</v>
      </c>
      <c r="K198" s="11" t="n">
        <v>1.10891951092544</v>
      </c>
      <c r="L198" s="11" t="n">
        <v>0.149154653684617</v>
      </c>
      <c r="M198" s="11" t="n">
        <v>0.105195776212715</v>
      </c>
      <c r="N198" s="11" t="n">
        <v>0.138126610717892</v>
      </c>
      <c r="O198" s="12" t="n">
        <v>0.74584398818451</v>
      </c>
      <c r="P198" s="12" t="n">
        <v>0.837682986729618</v>
      </c>
      <c r="Q198" s="4" t="n">
        <f aca="false">RANK(N198,$N$7:$N$307,0)</f>
        <v>192</v>
      </c>
      <c r="R198" s="4" t="n">
        <f aca="false">RANK(O198,$O$7:$O$307,1)</f>
        <v>268</v>
      </c>
      <c r="S198" s="4" t="n">
        <f aca="false">RANK(J198,$J$7:$J$307,0)</f>
        <v>200</v>
      </c>
      <c r="T198" s="4" t="str">
        <f aca="false">IF(O198&lt;0.05,"YES","no")</f>
        <v>no</v>
      </c>
      <c r="U198" s="4" t="str">
        <f aca="false">IF(P198&lt;0.05,"YES","no")</f>
        <v>no</v>
      </c>
      <c r="V198" s="4" t="str">
        <f aca="false">IF(N198&gt;1,"YES","no")</f>
        <v>no</v>
      </c>
    </row>
    <row r="199" customFormat="false" ht="15" hidden="false" customHeight="false" outlineLevel="0" collapsed="false">
      <c r="A199" s="4" t="s">
        <v>291</v>
      </c>
      <c r="B199" s="4"/>
      <c r="C199" s="4" t="s">
        <v>72</v>
      </c>
      <c r="D199" s="8" t="n">
        <v>245.11326</v>
      </c>
      <c r="E199" s="9" t="n">
        <v>9.843</v>
      </c>
      <c r="F199" s="10" t="n">
        <v>418853.835518312</v>
      </c>
      <c r="G199" s="10" t="n">
        <v>197959.378966388</v>
      </c>
      <c r="H199" s="10" t="n">
        <v>675061.525954437</v>
      </c>
      <c r="I199" s="10" t="n">
        <v>140988.075580415</v>
      </c>
      <c r="J199" s="10" t="n">
        <v>546957.680736375</v>
      </c>
      <c r="K199" s="11" t="n">
        <v>1.61168758337638</v>
      </c>
      <c r="L199" s="11" t="n">
        <v>0.688572112603023</v>
      </c>
      <c r="M199" s="11" t="n">
        <v>0.632495968298693</v>
      </c>
      <c r="N199" s="11" t="n">
        <v>0.136827200516873</v>
      </c>
      <c r="O199" s="12" t="n">
        <v>0.0294989714012316</v>
      </c>
      <c r="P199" s="12" t="n">
        <v>0.117408171542455</v>
      </c>
      <c r="Q199" s="4" t="n">
        <f aca="false">RANK(N199,$N$7:$N$307,0)</f>
        <v>193</v>
      </c>
      <c r="R199" s="4" t="n">
        <f aca="false">RANK(O199,$O$7:$O$307,1)</f>
        <v>74</v>
      </c>
      <c r="S199" s="4" t="n">
        <f aca="false">RANK(J199,$J$7:$J$307,0)</f>
        <v>199</v>
      </c>
      <c r="T199" s="4" t="str">
        <f aca="false">IF(O199&lt;0.05,"YES","no")</f>
        <v>YES</v>
      </c>
      <c r="U199" s="4" t="str">
        <f aca="false">IF(P199&lt;0.05,"YES","no")</f>
        <v>no</v>
      </c>
      <c r="V199" s="4" t="str">
        <f aca="false">IF(N199&gt;1,"YES","no")</f>
        <v>no</v>
      </c>
    </row>
    <row r="200" customFormat="false" ht="15" hidden="false" customHeight="false" outlineLevel="0" collapsed="false">
      <c r="A200" s="4" t="s">
        <v>292</v>
      </c>
      <c r="B200" s="4"/>
      <c r="C200" s="4" t="s">
        <v>72</v>
      </c>
      <c r="D200" s="8" t="n">
        <v>233.14949</v>
      </c>
      <c r="E200" s="9" t="n">
        <v>6.823</v>
      </c>
      <c r="F200" s="10" t="n">
        <v>496539.416796162</v>
      </c>
      <c r="G200" s="10" t="n">
        <v>178779.992260785</v>
      </c>
      <c r="H200" s="10" t="n">
        <v>457177.285277633</v>
      </c>
      <c r="I200" s="10" t="n">
        <v>120172.094823372</v>
      </c>
      <c r="J200" s="10" t="n">
        <v>476858.351036897</v>
      </c>
      <c r="K200" s="11" t="n">
        <v>0.920727075863369</v>
      </c>
      <c r="L200" s="11" t="n">
        <v>-0.119154522338725</v>
      </c>
      <c r="M200" s="11" t="n">
        <v>0.140142898728721</v>
      </c>
      <c r="N200" s="11" t="n">
        <v>0.136224629092277</v>
      </c>
      <c r="O200" s="12" t="n">
        <v>0.665322809518475</v>
      </c>
      <c r="P200" s="12" t="n">
        <v>0.770239098711773</v>
      </c>
      <c r="Q200" s="4" t="n">
        <f aca="false">RANK(N200,$N$7:$N$307,0)</f>
        <v>194</v>
      </c>
      <c r="R200" s="4" t="n">
        <f aca="false">RANK(O200,$O$7:$O$307,1)</f>
        <v>260</v>
      </c>
      <c r="S200" s="4" t="n">
        <f aca="false">RANK(J200,$J$7:$J$307,0)</f>
        <v>206</v>
      </c>
      <c r="T200" s="4" t="str">
        <f aca="false">IF(O200&lt;0.05,"YES","no")</f>
        <v>no</v>
      </c>
      <c r="U200" s="4" t="str">
        <f aca="false">IF(P200&lt;0.05,"YES","no")</f>
        <v>no</v>
      </c>
      <c r="V200" s="4" t="str">
        <f aca="false">IF(N200&gt;1,"YES","no")</f>
        <v>no</v>
      </c>
    </row>
    <row r="201" customFormat="false" ht="15" hidden="false" customHeight="false" outlineLevel="0" collapsed="false">
      <c r="A201" s="4" t="s">
        <v>293</v>
      </c>
      <c r="B201" s="4"/>
      <c r="C201" s="4" t="s">
        <v>61</v>
      </c>
      <c r="D201" s="8" t="n">
        <v>189.05247</v>
      </c>
      <c r="E201" s="9" t="n">
        <v>6.858</v>
      </c>
      <c r="F201" s="10" t="n">
        <v>1138634.00506281</v>
      </c>
      <c r="G201" s="10" t="n">
        <v>347296.060866171</v>
      </c>
      <c r="H201" s="10" t="n">
        <v>1367609.65649884</v>
      </c>
      <c r="I201" s="10" t="n">
        <v>586010.289332693</v>
      </c>
      <c r="J201" s="10" t="n">
        <v>1253121.83078082</v>
      </c>
      <c r="K201" s="11" t="n">
        <v>1.201096797055</v>
      </c>
      <c r="L201" s="11" t="n">
        <v>0.264352423319887</v>
      </c>
      <c r="M201" s="11" t="n">
        <v>0.251971623957089</v>
      </c>
      <c r="N201" s="11" t="n">
        <v>0.136170196552244</v>
      </c>
      <c r="O201" s="12" t="n">
        <v>0.433793356179741</v>
      </c>
      <c r="P201" s="12" t="n">
        <v>0.573094699627681</v>
      </c>
      <c r="Q201" s="4" t="n">
        <f aca="false">RANK(N201,$N$7:$N$307,0)</f>
        <v>195</v>
      </c>
      <c r="R201" s="4" t="n">
        <f aca="false">RANK(O201,$O$7:$O$307,1)</f>
        <v>227</v>
      </c>
      <c r="S201" s="4" t="n">
        <f aca="false">RANK(J201,$J$7:$J$307,0)</f>
        <v>162</v>
      </c>
      <c r="T201" s="4" t="str">
        <f aca="false">IF(O201&lt;0.05,"YES","no")</f>
        <v>no</v>
      </c>
      <c r="U201" s="4" t="str">
        <f aca="false">IF(P201&lt;0.05,"YES","no")</f>
        <v>no</v>
      </c>
      <c r="V201" s="4" t="str">
        <f aca="false">IF(N201&gt;1,"YES","no")</f>
        <v>no</v>
      </c>
    </row>
    <row r="202" customFormat="false" ht="15" hidden="false" customHeight="false" outlineLevel="0" collapsed="false">
      <c r="A202" s="4" t="s">
        <v>294</v>
      </c>
      <c r="B202" s="4"/>
      <c r="C202" s="4" t="s">
        <v>61</v>
      </c>
      <c r="D202" s="8" t="n">
        <v>304.03389</v>
      </c>
      <c r="E202" s="9" t="n">
        <v>8.879</v>
      </c>
      <c r="F202" s="10" t="n">
        <v>351170.058654002</v>
      </c>
      <c r="G202" s="10" t="n">
        <v>235744.100831293</v>
      </c>
      <c r="H202" s="10" t="n">
        <v>640090.611492814</v>
      </c>
      <c r="I202" s="10" t="n">
        <v>455466.94278382</v>
      </c>
      <c r="J202" s="10" t="n">
        <v>495630.335073408</v>
      </c>
      <c r="K202" s="11" t="n">
        <v>1.82273686414558</v>
      </c>
      <c r="L202" s="11" t="n">
        <v>0.866106304551576</v>
      </c>
      <c r="M202" s="11" t="n">
        <v>0.399949601442163</v>
      </c>
      <c r="N202" s="11" t="n">
        <v>0.133868337258831</v>
      </c>
      <c r="O202" s="12" t="n">
        <v>0.207346520053047</v>
      </c>
      <c r="P202" s="12" t="n">
        <v>0.373720374466869</v>
      </c>
      <c r="Q202" s="4" t="n">
        <f aca="false">RANK(N202,$N$7:$N$307,0)</f>
        <v>196</v>
      </c>
      <c r="R202" s="4" t="n">
        <f aca="false">RANK(O202,$O$7:$O$307,1)</f>
        <v>167</v>
      </c>
      <c r="S202" s="4" t="n">
        <f aca="false">RANK(J202,$J$7:$J$307,0)</f>
        <v>204</v>
      </c>
      <c r="T202" s="4" t="str">
        <f aca="false">IF(O202&lt;0.05,"YES","no")</f>
        <v>no</v>
      </c>
      <c r="U202" s="4" t="str">
        <f aca="false">IF(P202&lt;0.05,"YES","no")</f>
        <v>no</v>
      </c>
      <c r="V202" s="4" t="str">
        <f aca="false">IF(N202&gt;1,"YES","no")</f>
        <v>no</v>
      </c>
    </row>
    <row r="203" customFormat="false" ht="15" hidden="false" customHeight="false" outlineLevel="0" collapsed="false">
      <c r="A203" s="4" t="s">
        <v>295</v>
      </c>
      <c r="B203" s="4"/>
      <c r="C203" s="4" t="s">
        <v>61</v>
      </c>
      <c r="D203" s="8" t="n">
        <v>282.08428</v>
      </c>
      <c r="E203" s="9" t="n">
        <v>9.983</v>
      </c>
      <c r="F203" s="10" t="n">
        <v>605700.712125085</v>
      </c>
      <c r="G203" s="10" t="n">
        <v>187097.515016681</v>
      </c>
      <c r="H203" s="10" t="n">
        <v>931601.156229103</v>
      </c>
      <c r="I203" s="10" t="n">
        <v>437084.46907694</v>
      </c>
      <c r="J203" s="10" t="n">
        <v>768650.934177094</v>
      </c>
      <c r="K203" s="11" t="n">
        <v>1.53805524342312</v>
      </c>
      <c r="L203" s="11" t="n">
        <v>0.621107322533318</v>
      </c>
      <c r="M203" s="11" t="n">
        <v>0.468953887632638</v>
      </c>
      <c r="N203" s="11" t="n">
        <v>0.131547929494744</v>
      </c>
      <c r="O203" s="12" t="n">
        <v>0.138475661921782</v>
      </c>
      <c r="P203" s="12" t="n">
        <v>0.28554522177727</v>
      </c>
      <c r="Q203" s="4" t="n">
        <f aca="false">RANK(N203,$N$7:$N$307,0)</f>
        <v>197</v>
      </c>
      <c r="R203" s="4" t="n">
        <f aca="false">RANK(O203,$O$7:$O$307,1)</f>
        <v>145</v>
      </c>
      <c r="S203" s="4" t="n">
        <f aca="false">RANK(J203,$J$7:$J$307,0)</f>
        <v>184</v>
      </c>
      <c r="T203" s="4" t="str">
        <f aca="false">IF(O203&lt;0.05,"YES","no")</f>
        <v>no</v>
      </c>
      <c r="U203" s="4" t="str">
        <f aca="false">IF(P203&lt;0.05,"YES","no")</f>
        <v>no</v>
      </c>
      <c r="V203" s="4" t="str">
        <f aca="false">IF(N203&gt;1,"YES","no")</f>
        <v>no</v>
      </c>
    </row>
    <row r="204" customFormat="false" ht="15" hidden="false" customHeight="false" outlineLevel="0" collapsed="false">
      <c r="A204" s="4" t="s">
        <v>296</v>
      </c>
      <c r="B204" s="4" t="s">
        <v>297</v>
      </c>
      <c r="C204" s="4" t="s">
        <v>72</v>
      </c>
      <c r="D204" s="8" t="n">
        <v>348.07035</v>
      </c>
      <c r="E204" s="9" t="n">
        <v>10.014</v>
      </c>
      <c r="F204" s="10" t="n">
        <v>1037008.9639671</v>
      </c>
      <c r="G204" s="10" t="n">
        <v>566276.615146942</v>
      </c>
      <c r="H204" s="10" t="n">
        <v>1277554.80776444</v>
      </c>
      <c r="I204" s="10" t="n">
        <v>594386.689491531</v>
      </c>
      <c r="J204" s="10" t="n">
        <v>1157281.88586577</v>
      </c>
      <c r="K204" s="11" t="n">
        <v>1.23196120010105</v>
      </c>
      <c r="L204" s="11" t="n">
        <v>0.300956819910029</v>
      </c>
      <c r="M204" s="11" t="n">
        <v>0.221333801776526</v>
      </c>
      <c r="N204" s="11" t="n">
        <v>0.130529450186167</v>
      </c>
      <c r="O204" s="12" t="n">
        <v>0.489394712149984</v>
      </c>
      <c r="P204" s="12" t="n">
        <v>0.629520548534808</v>
      </c>
      <c r="Q204" s="4" t="n">
        <f aca="false">RANK(N204,$N$7:$N$307,0)</f>
        <v>198</v>
      </c>
      <c r="R204" s="4" t="n">
        <f aca="false">RANK(O204,$O$7:$O$307,1)</f>
        <v>234</v>
      </c>
      <c r="S204" s="4" t="n">
        <f aca="false">RANK(J204,$J$7:$J$307,0)</f>
        <v>166</v>
      </c>
      <c r="T204" s="4" t="str">
        <f aca="false">IF(O204&lt;0.05,"YES","no")</f>
        <v>no</v>
      </c>
      <c r="U204" s="4" t="str">
        <f aca="false">IF(P204&lt;0.05,"YES","no")</f>
        <v>no</v>
      </c>
      <c r="V204" s="4" t="str">
        <f aca="false">IF(N204&gt;1,"YES","no")</f>
        <v>no</v>
      </c>
    </row>
    <row r="205" customFormat="false" ht="15" hidden="false" customHeight="false" outlineLevel="0" collapsed="false">
      <c r="A205" s="4" t="s">
        <v>298</v>
      </c>
      <c r="B205" s="4"/>
      <c r="C205" s="4" t="s">
        <v>61</v>
      </c>
      <c r="D205" s="8" t="n">
        <v>346.05529</v>
      </c>
      <c r="E205" s="9" t="n">
        <v>10.103</v>
      </c>
      <c r="F205" s="10" t="n">
        <v>776871.482001885</v>
      </c>
      <c r="G205" s="10" t="n">
        <v>281370.124469447</v>
      </c>
      <c r="H205" s="10" t="n">
        <v>1033263.90009161</v>
      </c>
      <c r="I205" s="10" t="n">
        <v>380078.274543097</v>
      </c>
      <c r="J205" s="10" t="n">
        <v>905067.691046745</v>
      </c>
      <c r="K205" s="11" t="n">
        <v>1.33003196027873</v>
      </c>
      <c r="L205" s="11" t="n">
        <v>0.411460913682575</v>
      </c>
      <c r="M205" s="11" t="n">
        <v>0.387208079390623</v>
      </c>
      <c r="N205" s="11" t="n">
        <v>0.13029875211962</v>
      </c>
      <c r="O205" s="12" t="n">
        <v>0.216113532382058</v>
      </c>
      <c r="P205" s="12" t="n">
        <v>0.380410369865494</v>
      </c>
      <c r="Q205" s="4" t="n">
        <f aca="false">RANK(N205,$N$7:$N$307,0)</f>
        <v>199</v>
      </c>
      <c r="R205" s="4" t="n">
        <f aca="false">RANK(O205,$O$7:$O$307,1)</f>
        <v>171</v>
      </c>
      <c r="S205" s="4" t="n">
        <f aca="false">RANK(J205,$J$7:$J$307,0)</f>
        <v>175</v>
      </c>
      <c r="T205" s="4" t="str">
        <f aca="false">IF(O205&lt;0.05,"YES","no")</f>
        <v>no</v>
      </c>
      <c r="U205" s="4" t="str">
        <f aca="false">IF(P205&lt;0.05,"YES","no")</f>
        <v>no</v>
      </c>
      <c r="V205" s="4" t="str">
        <f aca="false">IF(N205&gt;1,"YES","no")</f>
        <v>no</v>
      </c>
    </row>
    <row r="206" customFormat="false" ht="15" hidden="false" customHeight="false" outlineLevel="0" collapsed="false">
      <c r="A206" s="4" t="s">
        <v>299</v>
      </c>
      <c r="B206" s="4" t="s">
        <v>300</v>
      </c>
      <c r="C206" s="4" t="s">
        <v>72</v>
      </c>
      <c r="D206" s="8" t="n">
        <v>442.01716</v>
      </c>
      <c r="E206" s="9" t="n">
        <v>10.732</v>
      </c>
      <c r="F206" s="10" t="n">
        <v>613095.376815707</v>
      </c>
      <c r="G206" s="10" t="n">
        <v>189954.714461278</v>
      </c>
      <c r="H206" s="10" t="n">
        <v>593892.679881291</v>
      </c>
      <c r="I206" s="10" t="n">
        <v>120771.50899125</v>
      </c>
      <c r="J206" s="10" t="n">
        <v>603494.028348499</v>
      </c>
      <c r="K206" s="11" t="n">
        <v>0.968679103349056</v>
      </c>
      <c r="L206" s="11" t="n">
        <v>-0.0459092751507858</v>
      </c>
      <c r="M206" s="11" t="n">
        <v>0.0659359842420289</v>
      </c>
      <c r="N206" s="11" t="n">
        <v>0.129762091606298</v>
      </c>
      <c r="O206" s="12" t="n">
        <v>0.83941331697486</v>
      </c>
      <c r="P206" s="12" t="n">
        <v>0.893349116969163</v>
      </c>
      <c r="Q206" s="4" t="n">
        <f aca="false">RANK(N206,$N$7:$N$307,0)</f>
        <v>200</v>
      </c>
      <c r="R206" s="4" t="n">
        <f aca="false">RANK(O206,$O$7:$O$307,1)</f>
        <v>282</v>
      </c>
      <c r="S206" s="4" t="n">
        <f aca="false">RANK(J206,$J$7:$J$307,0)</f>
        <v>196</v>
      </c>
      <c r="T206" s="4" t="str">
        <f aca="false">IF(O206&lt;0.05,"YES","no")</f>
        <v>no</v>
      </c>
      <c r="U206" s="4" t="str">
        <f aca="false">IF(P206&lt;0.05,"YES","no")</f>
        <v>no</v>
      </c>
      <c r="V206" s="4" t="str">
        <f aca="false">IF(N206&gt;1,"YES","no")</f>
        <v>no</v>
      </c>
    </row>
    <row r="207" customFormat="false" ht="15" hidden="false" customHeight="false" outlineLevel="0" collapsed="false">
      <c r="A207" s="4" t="s">
        <v>301</v>
      </c>
      <c r="B207" s="4"/>
      <c r="C207" s="4" t="s">
        <v>72</v>
      </c>
      <c r="D207" s="8" t="n">
        <v>209.03024</v>
      </c>
      <c r="E207" s="9" t="n">
        <v>9.886</v>
      </c>
      <c r="F207" s="10" t="n">
        <v>239302.794944114</v>
      </c>
      <c r="G207" s="10" t="n">
        <v>84481.8918247676</v>
      </c>
      <c r="H207" s="10" t="n">
        <v>396913.361405125</v>
      </c>
      <c r="I207" s="10" t="n">
        <v>57525.3856891399</v>
      </c>
      <c r="J207" s="10" t="n">
        <v>318108.078174619</v>
      </c>
      <c r="K207" s="11" t="n">
        <v>1.65862401021191</v>
      </c>
      <c r="L207" s="11" t="n">
        <v>0.729986882026052</v>
      </c>
      <c r="M207" s="11" t="n">
        <v>0.766766770956903</v>
      </c>
      <c r="N207" s="11" t="n">
        <v>0.129450219529862</v>
      </c>
      <c r="O207" s="12" t="n">
        <v>0.00453301919229599</v>
      </c>
      <c r="P207" s="12" t="n">
        <v>0.0804254332941195</v>
      </c>
      <c r="Q207" s="4" t="n">
        <f aca="false">RANK(N207,$N$7:$N$307,0)</f>
        <v>201</v>
      </c>
      <c r="R207" s="4" t="n">
        <f aca="false">RANK(O207,$O$7:$O$307,1)</f>
        <v>16</v>
      </c>
      <c r="S207" s="4" t="n">
        <f aca="false">RANK(J207,$J$7:$J$307,0)</f>
        <v>229</v>
      </c>
      <c r="T207" s="4" t="str">
        <f aca="false">IF(O207&lt;0.05,"YES","no")</f>
        <v>YES</v>
      </c>
      <c r="U207" s="4" t="str">
        <f aca="false">IF(P207&lt;0.05,"YES","no")</f>
        <v>no</v>
      </c>
      <c r="V207" s="4" t="str">
        <f aca="false">IF(N207&gt;1,"YES","no")</f>
        <v>no</v>
      </c>
    </row>
    <row r="208" customFormat="false" ht="15" hidden="false" customHeight="false" outlineLevel="0" collapsed="false">
      <c r="A208" s="4" t="s">
        <v>302</v>
      </c>
      <c r="B208" s="4"/>
      <c r="C208" s="4" t="s">
        <v>61</v>
      </c>
      <c r="D208" s="8" t="n">
        <v>173.08244</v>
      </c>
      <c r="E208" s="9" t="n">
        <v>8.269</v>
      </c>
      <c r="F208" s="10" t="n">
        <v>456856.271525021</v>
      </c>
      <c r="G208" s="10" t="n">
        <v>592048.40438067</v>
      </c>
      <c r="H208" s="10" t="n">
        <v>358138.878520339</v>
      </c>
      <c r="I208" s="10" t="n">
        <v>451582.585763689</v>
      </c>
      <c r="J208" s="10" t="n">
        <v>407497.57502268</v>
      </c>
      <c r="K208" s="11" t="n">
        <v>0.783920241096492</v>
      </c>
      <c r="L208" s="11" t="n">
        <v>-0.351221218133698</v>
      </c>
      <c r="M208" s="11" t="n">
        <v>0.102155286121626</v>
      </c>
      <c r="N208" s="11" t="n">
        <v>0.129273262249423</v>
      </c>
      <c r="O208" s="12" t="n">
        <v>0.752527017742616</v>
      </c>
      <c r="P208" s="12" t="n">
        <v>0.841643009605866</v>
      </c>
      <c r="Q208" s="4" t="n">
        <f aca="false">RANK(N208,$N$7:$N$307,0)</f>
        <v>202</v>
      </c>
      <c r="R208" s="4" t="n">
        <f aca="false">RANK(O208,$O$7:$O$307,1)</f>
        <v>269</v>
      </c>
      <c r="S208" s="4" t="n">
        <f aca="false">RANK(J208,$J$7:$J$307,0)</f>
        <v>214</v>
      </c>
      <c r="T208" s="4" t="str">
        <f aca="false">IF(O208&lt;0.05,"YES","no")</f>
        <v>no</v>
      </c>
      <c r="U208" s="4" t="str">
        <f aca="false">IF(P208&lt;0.05,"YES","no")</f>
        <v>no</v>
      </c>
      <c r="V208" s="4" t="str">
        <f aca="false">IF(N208&gt;1,"YES","no")</f>
        <v>no</v>
      </c>
    </row>
    <row r="209" customFormat="false" ht="15" hidden="false" customHeight="false" outlineLevel="0" collapsed="false">
      <c r="A209" s="4" t="s">
        <v>303</v>
      </c>
      <c r="B209" s="4"/>
      <c r="C209" s="4" t="s">
        <v>61</v>
      </c>
      <c r="D209" s="8" t="n">
        <v>484.97581</v>
      </c>
      <c r="E209" s="9" t="n">
        <v>10.423</v>
      </c>
      <c r="F209" s="10" t="n">
        <v>98538.5039334161</v>
      </c>
      <c r="G209" s="10" t="n">
        <v>145982.222028282</v>
      </c>
      <c r="H209" s="10" t="n">
        <v>38512.7039198664</v>
      </c>
      <c r="I209" s="10" t="n">
        <v>13764.3912858367</v>
      </c>
      <c r="J209" s="10" t="n">
        <v>68525.6039266412</v>
      </c>
      <c r="K209" s="11" t="n">
        <v>0.390839137824641</v>
      </c>
      <c r="L209" s="11" t="n">
        <v>-1.35535315184326</v>
      </c>
      <c r="M209" s="11" t="n">
        <v>0.302264194248144</v>
      </c>
      <c r="N209" s="11" t="n">
        <v>0.127910924905989</v>
      </c>
      <c r="O209" s="12" t="n">
        <v>0.361251520978359</v>
      </c>
      <c r="P209" s="12" t="n">
        <v>0.527922852442378</v>
      </c>
      <c r="Q209" s="4" t="n">
        <f aca="false">RANK(N209,$N$7:$N$307,0)</f>
        <v>203</v>
      </c>
      <c r="R209" s="4" t="n">
        <f aca="false">RANK(O209,$O$7:$O$307,1)</f>
        <v>205</v>
      </c>
      <c r="S209" s="4" t="n">
        <f aca="false">RANK(J209,$J$7:$J$307,0)</f>
        <v>283</v>
      </c>
      <c r="T209" s="4" t="str">
        <f aca="false">IF(O209&lt;0.05,"YES","no")</f>
        <v>no</v>
      </c>
      <c r="U209" s="4" t="str">
        <f aca="false">IF(P209&lt;0.05,"YES","no")</f>
        <v>no</v>
      </c>
      <c r="V209" s="4" t="str">
        <f aca="false">IF(N209&gt;1,"YES","no")</f>
        <v>no</v>
      </c>
    </row>
    <row r="210" customFormat="false" ht="15" hidden="false" customHeight="false" outlineLevel="0" collapsed="false">
      <c r="A210" s="4" t="s">
        <v>304</v>
      </c>
      <c r="B210" s="4"/>
      <c r="C210" s="4" t="s">
        <v>61</v>
      </c>
      <c r="D210" s="8" t="n">
        <v>130.04979</v>
      </c>
      <c r="E210" s="9" t="n">
        <v>7.367</v>
      </c>
      <c r="F210" s="10" t="n">
        <v>1001124.69400742</v>
      </c>
      <c r="G210" s="10" t="n">
        <v>479004.689974369</v>
      </c>
      <c r="H210" s="10" t="n">
        <v>1181498.34734337</v>
      </c>
      <c r="I210" s="10" t="n">
        <v>349294.558585672</v>
      </c>
      <c r="J210" s="10" t="n">
        <v>1091311.52067539</v>
      </c>
      <c r="K210" s="11" t="n">
        <v>1.18017101607386</v>
      </c>
      <c r="L210" s="11" t="n">
        <v>0.238995932608035</v>
      </c>
      <c r="M210" s="11" t="n">
        <v>0.229391642309005</v>
      </c>
      <c r="N210" s="11" t="n">
        <v>0.127178923450211</v>
      </c>
      <c r="O210" s="12" t="n">
        <v>0.474823625522254</v>
      </c>
      <c r="P210" s="12" t="n">
        <v>0.616042721043959</v>
      </c>
      <c r="Q210" s="4" t="n">
        <f aca="false">RANK(N210,$N$7:$N$307,0)</f>
        <v>204</v>
      </c>
      <c r="R210" s="4" t="n">
        <f aca="false">RANK(O210,$O$7:$O$307,1)</f>
        <v>232</v>
      </c>
      <c r="S210" s="4" t="n">
        <f aca="false">RANK(J210,$J$7:$J$307,0)</f>
        <v>169</v>
      </c>
      <c r="T210" s="4" t="str">
        <f aca="false">IF(O210&lt;0.05,"YES","no")</f>
        <v>no</v>
      </c>
      <c r="U210" s="4" t="str">
        <f aca="false">IF(P210&lt;0.05,"YES","no")</f>
        <v>no</v>
      </c>
      <c r="V210" s="4" t="str">
        <f aca="false">IF(N210&gt;1,"YES","no")</f>
        <v>no</v>
      </c>
    </row>
    <row r="211" customFormat="false" ht="15" hidden="false" customHeight="false" outlineLevel="0" collapsed="false">
      <c r="A211" s="4" t="s">
        <v>305</v>
      </c>
      <c r="B211" s="4"/>
      <c r="C211" s="4" t="s">
        <v>61</v>
      </c>
      <c r="D211" s="8" t="n">
        <v>105.01929</v>
      </c>
      <c r="E211" s="9" t="n">
        <v>8.505</v>
      </c>
      <c r="F211" s="10" t="n">
        <v>639130.246546688</v>
      </c>
      <c r="G211" s="10" t="n">
        <v>293431.953464868</v>
      </c>
      <c r="H211" s="10" t="n">
        <v>697566.750670243</v>
      </c>
      <c r="I211" s="10" t="n">
        <v>145683.551479383</v>
      </c>
      <c r="J211" s="10" t="n">
        <v>668348.498608465</v>
      </c>
      <c r="K211" s="11" t="n">
        <v>1.09143129188346</v>
      </c>
      <c r="L211" s="11" t="n">
        <v>0.126221312207759</v>
      </c>
      <c r="M211" s="11" t="n">
        <v>0.136867713110637</v>
      </c>
      <c r="N211" s="11" t="n">
        <v>0.126207639920676</v>
      </c>
      <c r="O211" s="12" t="n">
        <v>0.674759361985893</v>
      </c>
      <c r="P211" s="12" t="n">
        <v>0.778170758458826</v>
      </c>
      <c r="Q211" s="4" t="n">
        <f aca="false">RANK(N211,$N$7:$N$307,0)</f>
        <v>205</v>
      </c>
      <c r="R211" s="4" t="n">
        <f aca="false">RANK(O211,$O$7:$O$307,1)</f>
        <v>261</v>
      </c>
      <c r="S211" s="4" t="n">
        <f aca="false">RANK(J211,$J$7:$J$307,0)</f>
        <v>186</v>
      </c>
      <c r="T211" s="4" t="str">
        <f aca="false">IF(O211&lt;0.05,"YES","no")</f>
        <v>no</v>
      </c>
      <c r="U211" s="4" t="str">
        <f aca="false">IF(P211&lt;0.05,"YES","no")</f>
        <v>no</v>
      </c>
      <c r="V211" s="4" t="str">
        <f aca="false">IF(N211&gt;1,"YES","no")</f>
        <v>no</v>
      </c>
    </row>
    <row r="212" customFormat="false" ht="15" hidden="false" customHeight="false" outlineLevel="0" collapsed="false">
      <c r="A212" s="4" t="s">
        <v>306</v>
      </c>
      <c r="B212" s="4"/>
      <c r="C212" s="4" t="s">
        <v>72</v>
      </c>
      <c r="D212" s="8" t="n">
        <v>295.12866</v>
      </c>
      <c r="E212" s="9" t="n">
        <v>8.215</v>
      </c>
      <c r="F212" s="10" t="n">
        <v>289761.522478384</v>
      </c>
      <c r="G212" s="10" t="n">
        <v>193524.543447868</v>
      </c>
      <c r="H212" s="10" t="n">
        <v>532242.265115102</v>
      </c>
      <c r="I212" s="10" t="n">
        <v>195935.91378041</v>
      </c>
      <c r="J212" s="10" t="n">
        <v>411001.893796743</v>
      </c>
      <c r="K212" s="11" t="n">
        <v>1.83682864640804</v>
      </c>
      <c r="L212" s="11" t="n">
        <v>0.877217046967564</v>
      </c>
      <c r="M212" s="11" t="n">
        <v>0.563449817834466</v>
      </c>
      <c r="N212" s="11" t="n">
        <v>0.125524326843717</v>
      </c>
      <c r="O212" s="12" t="n">
        <v>0.0564239833576026</v>
      </c>
      <c r="P212" s="12" t="n">
        <v>0.16869535466284</v>
      </c>
      <c r="Q212" s="4" t="n">
        <f aca="false">RANK(N212,$N$7:$N$307,0)</f>
        <v>206</v>
      </c>
      <c r="R212" s="4" t="n">
        <f aca="false">RANK(O212,$O$7:$O$307,1)</f>
        <v>100</v>
      </c>
      <c r="S212" s="4" t="n">
        <f aca="false">RANK(J212,$J$7:$J$307,0)</f>
        <v>212</v>
      </c>
      <c r="T212" s="4" t="str">
        <f aca="false">IF(O212&lt;0.05,"YES","no")</f>
        <v>no</v>
      </c>
      <c r="U212" s="4" t="str">
        <f aca="false">IF(P212&lt;0.05,"YES","no")</f>
        <v>no</v>
      </c>
      <c r="V212" s="4" t="str">
        <f aca="false">IF(N212&gt;1,"YES","no")</f>
        <v>no</v>
      </c>
    </row>
    <row r="213" customFormat="false" ht="15" hidden="false" customHeight="false" outlineLevel="0" collapsed="false">
      <c r="A213" s="4" t="s">
        <v>307</v>
      </c>
      <c r="B213" s="4"/>
      <c r="C213" s="4" t="s">
        <v>72</v>
      </c>
      <c r="D213" s="8" t="n">
        <v>121.05075</v>
      </c>
      <c r="E213" s="9" t="n">
        <v>7.788</v>
      </c>
      <c r="F213" s="10" t="n">
        <v>90301.8405065911</v>
      </c>
      <c r="G213" s="10" t="n">
        <v>108288.539436819</v>
      </c>
      <c r="H213" s="10" t="n">
        <v>283180.576941406</v>
      </c>
      <c r="I213" s="10" t="n">
        <v>282835.815946334</v>
      </c>
      <c r="J213" s="10" t="n">
        <v>186741.208723999</v>
      </c>
      <c r="K213" s="11" t="n">
        <v>3.13593361278984</v>
      </c>
      <c r="L213" s="11" t="n">
        <v>1.64889501815444</v>
      </c>
      <c r="M213" s="11" t="n">
        <v>0.442409128082518</v>
      </c>
      <c r="N213" s="11" t="n">
        <v>0.123922914788991</v>
      </c>
      <c r="O213" s="12" t="n">
        <v>0.166453326311353</v>
      </c>
      <c r="P213" s="12" t="n">
        <v>0.323241620772369</v>
      </c>
      <c r="Q213" s="4" t="n">
        <f aca="false">RANK(N213,$N$7:$N$307,0)</f>
        <v>207</v>
      </c>
      <c r="R213" s="4" t="n">
        <f aca="false">RANK(O213,$O$7:$O$307,1)</f>
        <v>155</v>
      </c>
      <c r="S213" s="4" t="n">
        <f aca="false">RANK(J213,$J$7:$J$307,0)</f>
        <v>253</v>
      </c>
      <c r="T213" s="4" t="str">
        <f aca="false">IF(O213&lt;0.05,"YES","no")</f>
        <v>no</v>
      </c>
      <c r="U213" s="4" t="str">
        <f aca="false">IF(P213&lt;0.05,"YES","no")</f>
        <v>no</v>
      </c>
      <c r="V213" s="4" t="str">
        <f aca="false">IF(N213&gt;1,"YES","no")</f>
        <v>no</v>
      </c>
    </row>
    <row r="214" customFormat="false" ht="15" hidden="false" customHeight="false" outlineLevel="0" collapsed="false">
      <c r="A214" s="4" t="s">
        <v>308</v>
      </c>
      <c r="B214" s="4"/>
      <c r="C214" s="4" t="s">
        <v>61</v>
      </c>
      <c r="D214" s="8" t="n">
        <v>383.11398</v>
      </c>
      <c r="E214" s="9" t="n">
        <v>10.186</v>
      </c>
      <c r="F214" s="10" t="n">
        <v>485452.717087034</v>
      </c>
      <c r="G214" s="10" t="n">
        <v>128640.487660687</v>
      </c>
      <c r="H214" s="10" t="n">
        <v>729200.540381092</v>
      </c>
      <c r="I214" s="10" t="n">
        <v>270046.278749238</v>
      </c>
      <c r="J214" s="10" t="n">
        <v>607326.628734063</v>
      </c>
      <c r="K214" s="11" t="n">
        <v>1.50210414879676</v>
      </c>
      <c r="L214" s="11" t="n">
        <v>0.586984845970353</v>
      </c>
      <c r="M214" s="11" t="n">
        <v>0.533766084660311</v>
      </c>
      <c r="N214" s="11" t="n">
        <v>0.123552063014037</v>
      </c>
      <c r="O214" s="12" t="n">
        <v>0.0852175899503978</v>
      </c>
      <c r="P214" s="12" t="n">
        <v>0.210249955533359</v>
      </c>
      <c r="Q214" s="4" t="n">
        <f aca="false">RANK(N214,$N$7:$N$307,0)</f>
        <v>208</v>
      </c>
      <c r="R214" s="4" t="n">
        <f aca="false">RANK(O214,$O$7:$O$307,1)</f>
        <v>122</v>
      </c>
      <c r="S214" s="4" t="n">
        <f aca="false">RANK(J214,$J$7:$J$307,0)</f>
        <v>195</v>
      </c>
      <c r="T214" s="4" t="str">
        <f aca="false">IF(O214&lt;0.05,"YES","no")</f>
        <v>no</v>
      </c>
      <c r="U214" s="4" t="str">
        <f aca="false">IF(P214&lt;0.05,"YES","no")</f>
        <v>no</v>
      </c>
      <c r="V214" s="4" t="str">
        <f aca="false">IF(N214&gt;1,"YES","no")</f>
        <v>no</v>
      </c>
    </row>
    <row r="215" customFormat="false" ht="15" hidden="false" customHeight="false" outlineLevel="0" collapsed="false">
      <c r="A215" s="4" t="s">
        <v>309</v>
      </c>
      <c r="B215" s="4"/>
      <c r="C215" s="4" t="s">
        <v>72</v>
      </c>
      <c r="D215" s="8" t="n">
        <v>306.07599</v>
      </c>
      <c r="E215" s="9" t="n">
        <v>10.096</v>
      </c>
      <c r="F215" s="10" t="n">
        <v>856429.149229025</v>
      </c>
      <c r="G215" s="10" t="n">
        <v>307096.658695577</v>
      </c>
      <c r="H215" s="10" t="n">
        <v>1101552.5456841</v>
      </c>
      <c r="I215" s="10" t="n">
        <v>354565.0797418</v>
      </c>
      <c r="J215" s="10" t="n">
        <v>978990.847456564</v>
      </c>
      <c r="K215" s="11" t="n">
        <v>1.28621561593944</v>
      </c>
      <c r="L215" s="11" t="n">
        <v>0.363132510451261</v>
      </c>
      <c r="M215" s="11" t="n">
        <v>0.375211306814185</v>
      </c>
      <c r="N215" s="11" t="n">
        <v>0.120049969134545</v>
      </c>
      <c r="O215" s="12" t="n">
        <v>0.229998335391235</v>
      </c>
      <c r="P215" s="12" t="n">
        <v>0.393349425867965</v>
      </c>
      <c r="Q215" s="4" t="n">
        <f aca="false">RANK(N215,$N$7:$N$307,0)</f>
        <v>209</v>
      </c>
      <c r="R215" s="4" t="n">
        <f aca="false">RANK(O215,$O$7:$O$307,1)</f>
        <v>176</v>
      </c>
      <c r="S215" s="4" t="n">
        <f aca="false">RANK(J215,$J$7:$J$307,0)</f>
        <v>173</v>
      </c>
      <c r="T215" s="4" t="str">
        <f aca="false">IF(O215&lt;0.05,"YES","no")</f>
        <v>no</v>
      </c>
      <c r="U215" s="4" t="str">
        <f aca="false">IF(P215&lt;0.05,"YES","no")</f>
        <v>no</v>
      </c>
      <c r="V215" s="4" t="str">
        <f aca="false">IF(N215&gt;1,"YES","no")</f>
        <v>no</v>
      </c>
    </row>
    <row r="216" customFormat="false" ht="15" hidden="false" customHeight="false" outlineLevel="0" collapsed="false">
      <c r="A216" s="4" t="s">
        <v>310</v>
      </c>
      <c r="B216" s="4"/>
      <c r="C216" s="4" t="s">
        <v>61</v>
      </c>
      <c r="D216" s="8" t="n">
        <v>229.04836</v>
      </c>
      <c r="E216" s="9" t="n">
        <v>8.959</v>
      </c>
      <c r="F216" s="10" t="n">
        <v>302288.616081341</v>
      </c>
      <c r="G216" s="10" t="n">
        <v>188649.665800468</v>
      </c>
      <c r="H216" s="10" t="n">
        <v>515694.620305749</v>
      </c>
      <c r="I216" s="10" t="n">
        <v>126493.655943341</v>
      </c>
      <c r="J216" s="10" t="n">
        <v>408991.618193545</v>
      </c>
      <c r="K216" s="11" t="n">
        <v>1.70596771717988</v>
      </c>
      <c r="L216" s="11" t="n">
        <v>0.770590346125625</v>
      </c>
      <c r="M216" s="11" t="n">
        <v>0.588441831359311</v>
      </c>
      <c r="N216" s="11" t="n">
        <v>0.11999660713131</v>
      </c>
      <c r="O216" s="12" t="n">
        <v>0.0477093744460615</v>
      </c>
      <c r="P216" s="12" t="n">
        <v>0.16280226358158</v>
      </c>
      <c r="Q216" s="4" t="n">
        <f aca="false">RANK(N216,$N$7:$N$307,0)</f>
        <v>210</v>
      </c>
      <c r="R216" s="4" t="n">
        <f aca="false">RANK(O216,$O$7:$O$307,1)</f>
        <v>88</v>
      </c>
      <c r="S216" s="4" t="n">
        <f aca="false">RANK(J216,$J$7:$J$307,0)</f>
        <v>213</v>
      </c>
      <c r="T216" s="4" t="str">
        <f aca="false">IF(O216&lt;0.05,"YES","no")</f>
        <v>YES</v>
      </c>
      <c r="U216" s="4" t="str">
        <f aca="false">IF(P216&lt;0.05,"YES","no")</f>
        <v>no</v>
      </c>
      <c r="V216" s="4" t="str">
        <f aca="false">IF(N216&gt;1,"YES","no")</f>
        <v>no</v>
      </c>
    </row>
    <row r="217" customFormat="false" ht="15" hidden="false" customHeight="false" outlineLevel="0" collapsed="false">
      <c r="A217" s="4" t="s">
        <v>311</v>
      </c>
      <c r="B217" s="4"/>
      <c r="C217" s="4" t="s">
        <v>72</v>
      </c>
      <c r="D217" s="8" t="n">
        <v>243.10881</v>
      </c>
      <c r="E217" s="9" t="n">
        <v>9.193</v>
      </c>
      <c r="F217" s="10" t="n">
        <v>134644.231157772</v>
      </c>
      <c r="G217" s="10" t="n">
        <v>86935.5537212589</v>
      </c>
      <c r="H217" s="10" t="n">
        <v>299793.417095268</v>
      </c>
      <c r="I217" s="10" t="n">
        <v>89477.440478704</v>
      </c>
      <c r="J217" s="10" t="n">
        <v>217218.82412652</v>
      </c>
      <c r="K217" s="11" t="n">
        <v>2.22655968634838</v>
      </c>
      <c r="L217" s="11" t="n">
        <v>1.15481628595313</v>
      </c>
      <c r="M217" s="11" t="n">
        <v>0.715916596315545</v>
      </c>
      <c r="N217" s="11" t="n">
        <v>0.119222743218622</v>
      </c>
      <c r="O217" s="12" t="n">
        <v>0.00883998162310291</v>
      </c>
      <c r="P217" s="12" t="n">
        <v>0.0807692088686714</v>
      </c>
      <c r="Q217" s="4" t="n">
        <f aca="false">RANK(N217,$N$7:$N$307,0)</f>
        <v>211</v>
      </c>
      <c r="R217" s="4" t="n">
        <f aca="false">RANK(O217,$O$7:$O$307,1)</f>
        <v>29</v>
      </c>
      <c r="S217" s="4" t="n">
        <f aca="false">RANK(J217,$J$7:$J$307,0)</f>
        <v>248</v>
      </c>
      <c r="T217" s="4" t="str">
        <f aca="false">IF(O217&lt;0.05,"YES","no")</f>
        <v>YES</v>
      </c>
      <c r="U217" s="4" t="str">
        <f aca="false">IF(P217&lt;0.05,"YES","no")</f>
        <v>no</v>
      </c>
      <c r="V217" s="4" t="str">
        <f aca="false">IF(N217&gt;1,"YES","no")</f>
        <v>no</v>
      </c>
    </row>
    <row r="218" customFormat="false" ht="15" hidden="false" customHeight="false" outlineLevel="0" collapsed="false">
      <c r="A218" s="4" t="s">
        <v>312</v>
      </c>
      <c r="B218" s="4"/>
      <c r="C218" s="4" t="s">
        <v>61</v>
      </c>
      <c r="D218" s="8" t="n">
        <v>173.05678</v>
      </c>
      <c r="E218" s="9" t="n">
        <v>8.268</v>
      </c>
      <c r="F218" s="10" t="n">
        <v>97318.7230541962</v>
      </c>
      <c r="G218" s="10" t="n">
        <v>44436.2429374978</v>
      </c>
      <c r="H218" s="10" t="n">
        <v>222033.161176259</v>
      </c>
      <c r="I218" s="10" t="n">
        <v>39529.1008767089</v>
      </c>
      <c r="J218" s="10" t="n">
        <v>159675.942115227</v>
      </c>
      <c r="K218" s="11" t="n">
        <v>2.28150508153102</v>
      </c>
      <c r="L218" s="11" t="n">
        <v>1.18998586706055</v>
      </c>
      <c r="M218" s="11" t="n">
        <v>0.851557841002972</v>
      </c>
      <c r="N218" s="11" t="n">
        <v>0.118316554326234</v>
      </c>
      <c r="O218" s="12" t="n">
        <v>0.000459224054538264</v>
      </c>
      <c r="P218" s="12" t="n">
        <v>0.0635709329196314</v>
      </c>
      <c r="Q218" s="4" t="n">
        <f aca="false">RANK(N218,$N$7:$N$307,0)</f>
        <v>212</v>
      </c>
      <c r="R218" s="4" t="n">
        <f aca="false">RANK(O218,$O$7:$O$307,1)</f>
        <v>1</v>
      </c>
      <c r="S218" s="4" t="n">
        <f aca="false">RANK(J218,$J$7:$J$307,0)</f>
        <v>259</v>
      </c>
      <c r="T218" s="4" t="str">
        <f aca="false">IF(O218&lt;0.05,"YES","no")</f>
        <v>YES</v>
      </c>
      <c r="U218" s="4" t="str">
        <f aca="false">IF(P218&lt;0.05,"YES","no")</f>
        <v>no</v>
      </c>
      <c r="V218" s="4" t="str">
        <f aca="false">IF(N218&gt;1,"YES","no")</f>
        <v>no</v>
      </c>
    </row>
    <row r="219" customFormat="false" ht="15" hidden="false" customHeight="false" outlineLevel="0" collapsed="false">
      <c r="A219" s="4" t="s">
        <v>313</v>
      </c>
      <c r="B219" s="4"/>
      <c r="C219" s="4" t="s">
        <v>72</v>
      </c>
      <c r="D219" s="8" t="n">
        <v>170.09235</v>
      </c>
      <c r="E219" s="9" t="n">
        <v>7.981</v>
      </c>
      <c r="F219" s="10" t="n">
        <v>1932154.91139504</v>
      </c>
      <c r="G219" s="10" t="n">
        <v>397066.170519467</v>
      </c>
      <c r="H219" s="10" t="n">
        <v>1973302.95943208</v>
      </c>
      <c r="I219" s="10" t="n">
        <v>752279.165058119</v>
      </c>
      <c r="J219" s="10" t="n">
        <v>1952728.93541356</v>
      </c>
      <c r="K219" s="11" t="n">
        <v>1.02129645392011</v>
      </c>
      <c r="L219" s="11" t="n">
        <v>0.0304017012017704</v>
      </c>
      <c r="M219" s="11" t="n">
        <v>0.0374434005710297</v>
      </c>
      <c r="N219" s="11" t="n">
        <v>0.115692844264316</v>
      </c>
      <c r="O219" s="12" t="n">
        <v>0.908757215270648</v>
      </c>
      <c r="P219" s="12" t="n">
        <v>0.941734839068633</v>
      </c>
      <c r="Q219" s="4" t="n">
        <f aca="false">RANK(N219,$N$7:$N$307,0)</f>
        <v>213</v>
      </c>
      <c r="R219" s="4" t="n">
        <f aca="false">RANK(O219,$O$7:$O$307,1)</f>
        <v>290</v>
      </c>
      <c r="S219" s="4" t="n">
        <f aca="false">RANK(J219,$J$7:$J$307,0)</f>
        <v>142</v>
      </c>
      <c r="T219" s="4" t="str">
        <f aca="false">IF(O219&lt;0.05,"YES","no")</f>
        <v>no</v>
      </c>
      <c r="U219" s="4" t="str">
        <f aca="false">IF(P219&lt;0.05,"YES","no")</f>
        <v>no</v>
      </c>
      <c r="V219" s="4" t="str">
        <f aca="false">IF(N219&gt;1,"YES","no")</f>
        <v>no</v>
      </c>
    </row>
    <row r="220" customFormat="false" ht="15" hidden="false" customHeight="false" outlineLevel="0" collapsed="false">
      <c r="A220" s="4" t="s">
        <v>314</v>
      </c>
      <c r="B220" s="4"/>
      <c r="C220" s="4" t="s">
        <v>72</v>
      </c>
      <c r="D220" s="8" t="n">
        <v>190.04747</v>
      </c>
      <c r="E220" s="9" t="n">
        <v>9.551</v>
      </c>
      <c r="F220" s="10" t="n">
        <v>102654.721736765</v>
      </c>
      <c r="G220" s="10" t="n">
        <v>148461.632009829</v>
      </c>
      <c r="H220" s="10" t="n">
        <v>54310.8269258798</v>
      </c>
      <c r="I220" s="10" t="n">
        <v>31813.4464756762</v>
      </c>
      <c r="J220" s="10" t="n">
        <v>78482.7743313224</v>
      </c>
      <c r="K220" s="11" t="n">
        <v>0.529063115724455</v>
      </c>
      <c r="L220" s="11" t="n">
        <v>-0.918488252867434</v>
      </c>
      <c r="M220" s="11" t="n">
        <v>0.239459117725905</v>
      </c>
      <c r="N220" s="11" t="n">
        <v>0.114987688866607</v>
      </c>
      <c r="O220" s="12" t="n">
        <v>0.467891721144637</v>
      </c>
      <c r="P220" s="12" t="n">
        <v>0.609677091188467</v>
      </c>
      <c r="Q220" s="4" t="n">
        <f aca="false">RANK(N220,$N$7:$N$307,0)</f>
        <v>214</v>
      </c>
      <c r="R220" s="4" t="n">
        <f aca="false">RANK(O220,$O$7:$O$307,1)</f>
        <v>231</v>
      </c>
      <c r="S220" s="4" t="n">
        <f aca="false">RANK(J220,$J$7:$J$307,0)</f>
        <v>282</v>
      </c>
      <c r="T220" s="4" t="str">
        <f aca="false">IF(O220&lt;0.05,"YES","no")</f>
        <v>no</v>
      </c>
      <c r="U220" s="4" t="str">
        <f aca="false">IF(P220&lt;0.05,"YES","no")</f>
        <v>no</v>
      </c>
      <c r="V220" s="4" t="str">
        <f aca="false">IF(N220&gt;1,"YES","no")</f>
        <v>no</v>
      </c>
    </row>
    <row r="221" customFormat="false" ht="15" hidden="false" customHeight="false" outlineLevel="0" collapsed="false">
      <c r="A221" s="4" t="s">
        <v>315</v>
      </c>
      <c r="B221" s="4"/>
      <c r="C221" s="4" t="s">
        <v>72</v>
      </c>
      <c r="D221" s="8" t="n">
        <v>686.14313</v>
      </c>
      <c r="E221" s="9" t="n">
        <v>7.038</v>
      </c>
      <c r="F221" s="10" t="n">
        <v>217999.255396194</v>
      </c>
      <c r="G221" s="10" t="n">
        <v>168787.065529667</v>
      </c>
      <c r="H221" s="10" t="n">
        <v>390806.422194322</v>
      </c>
      <c r="I221" s="10" t="n">
        <v>189961.205490043</v>
      </c>
      <c r="J221" s="10" t="n">
        <v>304402.838795258</v>
      </c>
      <c r="K221" s="11" t="n">
        <v>1.79269613322333</v>
      </c>
      <c r="L221" s="11" t="n">
        <v>0.842130968271214</v>
      </c>
      <c r="M221" s="11" t="n">
        <v>0.466049651063672</v>
      </c>
      <c r="N221" s="11" t="n">
        <v>0.114917630769376</v>
      </c>
      <c r="O221" s="12" t="n">
        <v>0.127156737469846</v>
      </c>
      <c r="P221" s="12" t="n">
        <v>0.271448070768961</v>
      </c>
      <c r="Q221" s="4" t="n">
        <f aca="false">RANK(N221,$N$7:$N$307,0)</f>
        <v>215</v>
      </c>
      <c r="R221" s="4" t="n">
        <f aca="false">RANK(O221,$O$7:$O$307,1)</f>
        <v>141</v>
      </c>
      <c r="S221" s="4" t="n">
        <f aca="false">RANK(J221,$J$7:$J$307,0)</f>
        <v>232</v>
      </c>
      <c r="T221" s="4" t="str">
        <f aca="false">IF(O221&lt;0.05,"YES","no")</f>
        <v>no</v>
      </c>
      <c r="U221" s="4" t="str">
        <f aca="false">IF(P221&lt;0.05,"YES","no")</f>
        <v>no</v>
      </c>
      <c r="V221" s="4" t="str">
        <f aca="false">IF(N221&gt;1,"YES","no")</f>
        <v>no</v>
      </c>
    </row>
    <row r="222" customFormat="false" ht="15" hidden="false" customHeight="false" outlineLevel="0" collapsed="false">
      <c r="A222" s="4" t="s">
        <v>316</v>
      </c>
      <c r="B222" s="4"/>
      <c r="C222" s="4" t="s">
        <v>72</v>
      </c>
      <c r="D222" s="8" t="n">
        <v>260.05305</v>
      </c>
      <c r="E222" s="9" t="n">
        <v>9.877</v>
      </c>
      <c r="F222" s="10" t="n">
        <v>545660.17863852</v>
      </c>
      <c r="G222" s="10" t="n">
        <v>263845.098921466</v>
      </c>
      <c r="H222" s="10" t="n">
        <v>763949.432480398</v>
      </c>
      <c r="I222" s="10" t="n">
        <v>74392.1917063875</v>
      </c>
      <c r="J222" s="10" t="n">
        <v>654804.805559459</v>
      </c>
      <c r="K222" s="11" t="n">
        <v>1.40004615031013</v>
      </c>
      <c r="L222" s="11" t="n">
        <v>0.485474384117516</v>
      </c>
      <c r="M222" s="11" t="n">
        <v>0.524974112122548</v>
      </c>
      <c r="N222" s="11" t="n">
        <v>0.114060989105681</v>
      </c>
      <c r="O222" s="12" t="n">
        <v>0.100735736467611</v>
      </c>
      <c r="P222" s="12" t="n">
        <v>0.23289102067379</v>
      </c>
      <c r="Q222" s="4" t="n">
        <f aca="false">RANK(N222,$N$7:$N$307,0)</f>
        <v>216</v>
      </c>
      <c r="R222" s="4" t="n">
        <f aca="false">RANK(O222,$O$7:$O$307,1)</f>
        <v>130</v>
      </c>
      <c r="S222" s="4" t="n">
        <f aca="false">RANK(J222,$J$7:$J$307,0)</f>
        <v>188</v>
      </c>
      <c r="T222" s="4" t="str">
        <f aca="false">IF(O222&lt;0.05,"YES","no")</f>
        <v>no</v>
      </c>
      <c r="U222" s="4" t="str">
        <f aca="false">IF(P222&lt;0.05,"YES","no")</f>
        <v>no</v>
      </c>
      <c r="V222" s="4" t="str">
        <f aca="false">IF(N222&gt;1,"YES","no")</f>
        <v>no</v>
      </c>
    </row>
    <row r="223" customFormat="false" ht="15" hidden="false" customHeight="false" outlineLevel="0" collapsed="false">
      <c r="A223" s="4" t="s">
        <v>317</v>
      </c>
      <c r="B223" s="4"/>
      <c r="C223" s="4" t="s">
        <v>72</v>
      </c>
      <c r="D223" s="8" t="n">
        <v>347.0393</v>
      </c>
      <c r="E223" s="9" t="n">
        <v>10.1</v>
      </c>
      <c r="F223" s="10" t="n">
        <v>293820.5685271</v>
      </c>
      <c r="G223" s="10" t="n">
        <v>209347.167187225</v>
      </c>
      <c r="H223" s="10" t="n">
        <v>323492.636868548</v>
      </c>
      <c r="I223" s="10" t="n">
        <v>105788.051659887</v>
      </c>
      <c r="J223" s="10" t="n">
        <v>308656.602697824</v>
      </c>
      <c r="K223" s="11" t="n">
        <v>1.10098703603425</v>
      </c>
      <c r="L223" s="11" t="n">
        <v>0.138797481473383</v>
      </c>
      <c r="M223" s="11" t="n">
        <v>0.0975210988537898</v>
      </c>
      <c r="N223" s="11" t="n">
        <v>0.111860138905533</v>
      </c>
      <c r="O223" s="12" t="n">
        <v>0.765211195595983</v>
      </c>
      <c r="P223" s="12" t="n">
        <v>0.843694395144289</v>
      </c>
      <c r="Q223" s="4" t="n">
        <f aca="false">RANK(N223,$N$7:$N$307,0)</f>
        <v>217</v>
      </c>
      <c r="R223" s="4" t="n">
        <f aca="false">RANK(O223,$O$7:$O$307,1)</f>
        <v>273</v>
      </c>
      <c r="S223" s="4" t="n">
        <f aca="false">RANK(J223,$J$7:$J$307,0)</f>
        <v>231</v>
      </c>
      <c r="T223" s="4" t="str">
        <f aca="false">IF(O223&lt;0.05,"YES","no")</f>
        <v>no</v>
      </c>
      <c r="U223" s="4" t="str">
        <f aca="false">IF(P223&lt;0.05,"YES","no")</f>
        <v>no</v>
      </c>
      <c r="V223" s="4" t="str">
        <f aca="false">IF(N223&gt;1,"YES","no")</f>
        <v>no</v>
      </c>
    </row>
    <row r="224" customFormat="false" ht="15" hidden="false" customHeight="false" outlineLevel="0" collapsed="false">
      <c r="A224" s="4" t="s">
        <v>318</v>
      </c>
      <c r="B224" s="4" t="s">
        <v>319</v>
      </c>
      <c r="C224" s="4" t="s">
        <v>61</v>
      </c>
      <c r="D224" s="8" t="n">
        <v>291.12984</v>
      </c>
      <c r="E224" s="9" t="n">
        <v>10.713</v>
      </c>
      <c r="F224" s="10" t="n">
        <v>492847.521794859</v>
      </c>
      <c r="G224" s="10" t="n">
        <v>327244.116302747</v>
      </c>
      <c r="H224" s="10" t="n">
        <v>763290.401567553</v>
      </c>
      <c r="I224" s="10" t="n">
        <v>373003.84907622</v>
      </c>
      <c r="J224" s="10" t="n">
        <v>628068.961681206</v>
      </c>
      <c r="K224" s="11" t="n">
        <v>1.5487353954582</v>
      </c>
      <c r="L224" s="11" t="n">
        <v>0.631090677846504</v>
      </c>
      <c r="M224" s="11" t="n">
        <v>0.388932444695711</v>
      </c>
      <c r="N224" s="11" t="n">
        <v>0.110902561201073</v>
      </c>
      <c r="O224" s="12" t="n">
        <v>0.211951117191556</v>
      </c>
      <c r="P224" s="12" t="n">
        <v>0.377498735353007</v>
      </c>
      <c r="Q224" s="4" t="n">
        <f aca="false">RANK(N224,$N$7:$N$307,0)</f>
        <v>218</v>
      </c>
      <c r="R224" s="4" t="n">
        <f aca="false">RANK(O224,$O$7:$O$307,1)</f>
        <v>169</v>
      </c>
      <c r="S224" s="4" t="n">
        <f aca="false">RANK(J224,$J$7:$J$307,0)</f>
        <v>191</v>
      </c>
      <c r="T224" s="4" t="str">
        <f aca="false">IF(O224&lt;0.05,"YES","no")</f>
        <v>no</v>
      </c>
      <c r="U224" s="4" t="str">
        <f aca="false">IF(P224&lt;0.05,"YES","no")</f>
        <v>no</v>
      </c>
      <c r="V224" s="4" t="str">
        <f aca="false">IF(N224&gt;1,"YES","no")</f>
        <v>no</v>
      </c>
    </row>
    <row r="225" customFormat="false" ht="15" hidden="false" customHeight="false" outlineLevel="0" collapsed="false">
      <c r="A225" s="4" t="s">
        <v>320</v>
      </c>
      <c r="B225" s="4"/>
      <c r="C225" s="4" t="s">
        <v>61</v>
      </c>
      <c r="D225" s="8" t="n">
        <v>190.05434</v>
      </c>
      <c r="E225" s="9" t="n">
        <v>5.023</v>
      </c>
      <c r="F225" s="10" t="n">
        <v>260811.827436159</v>
      </c>
      <c r="G225" s="10" t="n">
        <v>255229.837508469</v>
      </c>
      <c r="H225" s="10" t="n">
        <v>432573.401199696</v>
      </c>
      <c r="I225" s="10" t="n">
        <v>111085.723214561</v>
      </c>
      <c r="J225" s="10" t="n">
        <v>346692.614317928</v>
      </c>
      <c r="K225" s="11" t="n">
        <v>1.65856512510185</v>
      </c>
      <c r="L225" s="11" t="n">
        <v>0.729935662000418</v>
      </c>
      <c r="M225" s="11" t="n">
        <v>0.431241681225129</v>
      </c>
      <c r="N225" s="11" t="n">
        <v>0.110090657464358</v>
      </c>
      <c r="O225" s="12" t="n">
        <v>0.175481725251057</v>
      </c>
      <c r="P225" s="12" t="n">
        <v>0.338589739106206</v>
      </c>
      <c r="Q225" s="4" t="n">
        <f aca="false">RANK(N225,$N$7:$N$307,0)</f>
        <v>219</v>
      </c>
      <c r="R225" s="4" t="n">
        <f aca="false">RANK(O225,$O$7:$O$307,1)</f>
        <v>156</v>
      </c>
      <c r="S225" s="4" t="n">
        <f aca="false">RANK(J225,$J$7:$J$307,0)</f>
        <v>225</v>
      </c>
      <c r="T225" s="4" t="str">
        <f aca="false">IF(O225&lt;0.05,"YES","no")</f>
        <v>no</v>
      </c>
      <c r="U225" s="4" t="str">
        <f aca="false">IF(P225&lt;0.05,"YES","no")</f>
        <v>no</v>
      </c>
      <c r="V225" s="4" t="str">
        <f aca="false">IF(N225&gt;1,"YES","no")</f>
        <v>no</v>
      </c>
    </row>
    <row r="226" customFormat="false" ht="15" hidden="false" customHeight="false" outlineLevel="0" collapsed="false">
      <c r="A226" s="4" t="s">
        <v>321</v>
      </c>
      <c r="B226" s="4"/>
      <c r="C226" s="4" t="s">
        <v>72</v>
      </c>
      <c r="D226" s="8" t="n">
        <v>455.0973</v>
      </c>
      <c r="E226" s="9" t="n">
        <v>8.139</v>
      </c>
      <c r="F226" s="10" t="n">
        <v>173843.175426947</v>
      </c>
      <c r="G226" s="10" t="n">
        <v>65479.8111192454</v>
      </c>
      <c r="H226" s="10" t="n">
        <v>319665.062919342</v>
      </c>
      <c r="I226" s="10" t="n">
        <v>87689.0418336037</v>
      </c>
      <c r="J226" s="10" t="n">
        <v>246754.119173145</v>
      </c>
      <c r="K226" s="11" t="n">
        <v>1.83881283883746</v>
      </c>
      <c r="L226" s="11" t="n">
        <v>0.878774644392474</v>
      </c>
      <c r="M226" s="11" t="n">
        <v>0.718189385012009</v>
      </c>
      <c r="N226" s="11" t="n">
        <v>0.109865983292438</v>
      </c>
      <c r="O226" s="12" t="n">
        <v>0.00942601714333912</v>
      </c>
      <c r="P226" s="12" t="n">
        <v>0.0807692088686714</v>
      </c>
      <c r="Q226" s="4" t="n">
        <f aca="false">RANK(N226,$N$7:$N$307,0)</f>
        <v>220</v>
      </c>
      <c r="R226" s="4" t="n">
        <f aca="false">RANK(O226,$O$7:$O$307,1)</f>
        <v>30</v>
      </c>
      <c r="S226" s="4" t="n">
        <f aca="false">RANK(J226,$J$7:$J$307,0)</f>
        <v>243</v>
      </c>
      <c r="T226" s="4" t="str">
        <f aca="false">IF(O226&lt;0.05,"YES","no")</f>
        <v>YES</v>
      </c>
      <c r="U226" s="4" t="str">
        <f aca="false">IF(P226&lt;0.05,"YES","no")</f>
        <v>no</v>
      </c>
      <c r="V226" s="4" t="str">
        <f aca="false">IF(N226&gt;1,"YES","no")</f>
        <v>no</v>
      </c>
    </row>
    <row r="227" customFormat="false" ht="15" hidden="false" customHeight="false" outlineLevel="0" collapsed="false">
      <c r="A227" s="4" t="s">
        <v>322</v>
      </c>
      <c r="B227" s="4"/>
      <c r="C227" s="4" t="s">
        <v>72</v>
      </c>
      <c r="D227" s="8" t="n">
        <v>204.06655</v>
      </c>
      <c r="E227" s="9" t="n">
        <v>5.008</v>
      </c>
      <c r="F227" s="10" t="n">
        <v>68717.1433736012</v>
      </c>
      <c r="G227" s="10" t="n">
        <v>111542.977391897</v>
      </c>
      <c r="H227" s="10" t="n">
        <v>195536.05072017</v>
      </c>
      <c r="I227" s="10" t="n">
        <v>102619.032290053</v>
      </c>
      <c r="J227" s="10" t="n">
        <v>132126.597046885</v>
      </c>
      <c r="K227" s="11" t="n">
        <v>2.84552065351552</v>
      </c>
      <c r="L227" s="11" t="n">
        <v>1.50869265095755</v>
      </c>
      <c r="M227" s="11" t="n">
        <v>0.543878877045642</v>
      </c>
      <c r="N227" s="11" t="n">
        <v>0.109327246744472</v>
      </c>
      <c r="O227" s="12" t="n">
        <v>0.067753962173797</v>
      </c>
      <c r="P227" s="12" t="n">
        <v>0.182088773342079</v>
      </c>
      <c r="Q227" s="4" t="n">
        <f aca="false">RANK(N227,$N$7:$N$307,0)</f>
        <v>221</v>
      </c>
      <c r="R227" s="4" t="n">
        <f aca="false">RANK(O227,$O$7:$O$307,1)</f>
        <v>112</v>
      </c>
      <c r="S227" s="4" t="n">
        <f aca="false">RANK(J227,$J$7:$J$307,0)</f>
        <v>269</v>
      </c>
      <c r="T227" s="4" t="str">
        <f aca="false">IF(O227&lt;0.05,"YES","no")</f>
        <v>no</v>
      </c>
      <c r="U227" s="4" t="str">
        <f aca="false">IF(P227&lt;0.05,"YES","no")</f>
        <v>no</v>
      </c>
      <c r="V227" s="4" t="str">
        <f aca="false">IF(N227&gt;1,"YES","no")</f>
        <v>no</v>
      </c>
    </row>
    <row r="228" customFormat="false" ht="15" hidden="false" customHeight="false" outlineLevel="0" collapsed="false">
      <c r="A228" s="4" t="s">
        <v>323</v>
      </c>
      <c r="B228" s="4" t="s">
        <v>324</v>
      </c>
      <c r="C228" s="4" t="s">
        <v>72</v>
      </c>
      <c r="D228" s="8" t="n">
        <v>489.11475</v>
      </c>
      <c r="E228" s="9" t="n">
        <v>10.202</v>
      </c>
      <c r="F228" s="10" t="n">
        <v>2441924.13914433</v>
      </c>
      <c r="G228" s="10" t="n">
        <v>987467.248483482</v>
      </c>
      <c r="H228" s="10" t="n">
        <v>2644219.18414107</v>
      </c>
      <c r="I228" s="10" t="n">
        <v>1091195.07753147</v>
      </c>
      <c r="J228" s="10" t="n">
        <v>2543071.6616427</v>
      </c>
      <c r="K228" s="11" t="n">
        <v>1.08284247727189</v>
      </c>
      <c r="L228" s="11" t="n">
        <v>0.114823387186684</v>
      </c>
      <c r="M228" s="11" t="n">
        <v>0.105877551748878</v>
      </c>
      <c r="N228" s="11" t="n">
        <v>0.108958238940297</v>
      </c>
      <c r="O228" s="12" t="n">
        <v>0.743365193353409</v>
      </c>
      <c r="P228" s="12" t="n">
        <v>0.837682986729618</v>
      </c>
      <c r="Q228" s="4" t="n">
        <f aca="false">RANK(N228,$N$7:$N$307,0)</f>
        <v>222</v>
      </c>
      <c r="R228" s="4" t="n">
        <f aca="false">RANK(O228,$O$7:$O$307,1)</f>
        <v>267</v>
      </c>
      <c r="S228" s="4" t="n">
        <f aca="false">RANK(J228,$J$7:$J$307,0)</f>
        <v>131</v>
      </c>
      <c r="T228" s="4" t="str">
        <f aca="false">IF(O228&lt;0.05,"YES","no")</f>
        <v>no</v>
      </c>
      <c r="U228" s="4" t="str">
        <f aca="false">IF(P228&lt;0.05,"YES","no")</f>
        <v>no</v>
      </c>
      <c r="V228" s="4" t="str">
        <f aca="false">IF(N228&gt;1,"YES","no")</f>
        <v>no</v>
      </c>
    </row>
    <row r="229" customFormat="false" ht="15" hidden="false" customHeight="false" outlineLevel="0" collapsed="false">
      <c r="A229" s="4" t="s">
        <v>325</v>
      </c>
      <c r="B229" s="4"/>
      <c r="C229" s="4" t="s">
        <v>61</v>
      </c>
      <c r="D229" s="8" t="n">
        <v>162.07602</v>
      </c>
      <c r="E229" s="9" t="n">
        <v>9.033</v>
      </c>
      <c r="F229" s="10" t="n">
        <v>702037.365401137</v>
      </c>
      <c r="G229" s="10" t="n">
        <v>172524.41375326</v>
      </c>
      <c r="H229" s="10" t="n">
        <v>845130.790023333</v>
      </c>
      <c r="I229" s="10" t="n">
        <v>170802.586489811</v>
      </c>
      <c r="J229" s="10" t="n">
        <v>773584.077712235</v>
      </c>
      <c r="K229" s="11" t="n">
        <v>1.20382593815421</v>
      </c>
      <c r="L229" s="11" t="n">
        <v>0.267626807117954</v>
      </c>
      <c r="M229" s="11" t="n">
        <v>0.415320376620954</v>
      </c>
      <c r="N229" s="11" t="n">
        <v>0.105294190847328</v>
      </c>
      <c r="O229" s="12" t="n">
        <v>0.179395929575009</v>
      </c>
      <c r="P229" s="12" t="n">
        <v>0.34176060001315</v>
      </c>
      <c r="Q229" s="4" t="n">
        <f aca="false">RANK(N229,$N$7:$N$307,0)</f>
        <v>223</v>
      </c>
      <c r="R229" s="4" t="n">
        <f aca="false">RANK(O229,$O$7:$O$307,1)</f>
        <v>158</v>
      </c>
      <c r="S229" s="4" t="n">
        <f aca="false">RANK(J229,$J$7:$J$307,0)</f>
        <v>183</v>
      </c>
      <c r="T229" s="4" t="str">
        <f aca="false">IF(O229&lt;0.05,"YES","no")</f>
        <v>no</v>
      </c>
      <c r="U229" s="4" t="str">
        <f aca="false">IF(P229&lt;0.05,"YES","no")</f>
        <v>no</v>
      </c>
      <c r="V229" s="4" t="str">
        <f aca="false">IF(N229&gt;1,"YES","no")</f>
        <v>no</v>
      </c>
    </row>
    <row r="230" customFormat="false" ht="15" hidden="false" customHeight="false" outlineLevel="0" collapsed="false">
      <c r="A230" s="4" t="s">
        <v>326</v>
      </c>
      <c r="B230" s="4"/>
      <c r="C230" s="4" t="s">
        <v>72</v>
      </c>
      <c r="D230" s="8" t="n">
        <v>209.09184</v>
      </c>
      <c r="E230" s="9" t="n">
        <v>9.133</v>
      </c>
      <c r="F230" s="10" t="n">
        <v>115210.251475214</v>
      </c>
      <c r="G230" s="10" t="n">
        <v>70422.3788677896</v>
      </c>
      <c r="H230" s="10" t="n">
        <v>245619.952001806</v>
      </c>
      <c r="I230" s="10" t="n">
        <v>79442.2678368575</v>
      </c>
      <c r="J230" s="10" t="n">
        <v>180415.10173851</v>
      </c>
      <c r="K230" s="11" t="n">
        <v>2.13192792183642</v>
      </c>
      <c r="L230" s="11" t="n">
        <v>1.09215866297187</v>
      </c>
      <c r="M230" s="11" t="n">
        <v>0.6893265564096</v>
      </c>
      <c r="N230" s="11" t="n">
        <v>0.104489563374439</v>
      </c>
      <c r="O230" s="12" t="n">
        <v>0.0133439373387726</v>
      </c>
      <c r="P230" s="12" t="n">
        <v>0.0836776070618864</v>
      </c>
      <c r="Q230" s="4" t="n">
        <f aca="false">RANK(N230,$N$7:$N$307,0)</f>
        <v>224</v>
      </c>
      <c r="R230" s="4" t="n">
        <f aca="false">RANK(O230,$O$7:$O$307,1)</f>
        <v>48</v>
      </c>
      <c r="S230" s="4" t="n">
        <f aca="false">RANK(J230,$J$7:$J$307,0)</f>
        <v>255</v>
      </c>
      <c r="T230" s="4" t="str">
        <f aca="false">IF(O230&lt;0.05,"YES","no")</f>
        <v>YES</v>
      </c>
      <c r="U230" s="4" t="str">
        <f aca="false">IF(P230&lt;0.05,"YES","no")</f>
        <v>no</v>
      </c>
      <c r="V230" s="4" t="str">
        <f aca="false">IF(N230&gt;1,"YES","no")</f>
        <v>no</v>
      </c>
    </row>
    <row r="231" customFormat="false" ht="15" hidden="false" customHeight="false" outlineLevel="0" collapsed="false">
      <c r="A231" s="4" t="s">
        <v>327</v>
      </c>
      <c r="B231" s="4"/>
      <c r="C231" s="4" t="s">
        <v>72</v>
      </c>
      <c r="D231" s="8" t="n">
        <v>275.01716</v>
      </c>
      <c r="E231" s="9" t="n">
        <v>10.27</v>
      </c>
      <c r="F231" s="10" t="n">
        <v>207872.73225605</v>
      </c>
      <c r="G231" s="10" t="n">
        <v>186809.316322156</v>
      </c>
      <c r="H231" s="10" t="n">
        <v>396253.889568914</v>
      </c>
      <c r="I231" s="10" t="n">
        <v>180789.953596512</v>
      </c>
      <c r="J231" s="10" t="n">
        <v>302063.310912482</v>
      </c>
      <c r="K231" s="11" t="n">
        <v>1.90623313249581</v>
      </c>
      <c r="L231" s="11" t="n">
        <v>0.930724571780693</v>
      </c>
      <c r="M231" s="11" t="n">
        <v>0.489466282149556</v>
      </c>
      <c r="N231" s="11" t="n">
        <v>0.103625157074322</v>
      </c>
      <c r="O231" s="12" t="n">
        <v>0.106321119041617</v>
      </c>
      <c r="P231" s="12" t="n">
        <v>0.2388257972502</v>
      </c>
      <c r="Q231" s="4" t="n">
        <f aca="false">RANK(N231,$N$7:$N$307,0)</f>
        <v>225</v>
      </c>
      <c r="R231" s="4" t="n">
        <f aca="false">RANK(O231,$O$7:$O$307,1)</f>
        <v>134</v>
      </c>
      <c r="S231" s="4" t="n">
        <f aca="false">RANK(J231,$J$7:$J$307,0)</f>
        <v>233</v>
      </c>
      <c r="T231" s="4" t="str">
        <f aca="false">IF(O231&lt;0.05,"YES","no")</f>
        <v>no</v>
      </c>
      <c r="U231" s="4" t="str">
        <f aca="false">IF(P231&lt;0.05,"YES","no")</f>
        <v>no</v>
      </c>
      <c r="V231" s="4" t="str">
        <f aca="false">IF(N231&gt;1,"YES","no")</f>
        <v>no</v>
      </c>
    </row>
    <row r="232" customFormat="false" ht="15" hidden="false" customHeight="false" outlineLevel="0" collapsed="false">
      <c r="A232" s="4" t="s">
        <v>328</v>
      </c>
      <c r="B232" s="4"/>
      <c r="C232" s="4" t="s">
        <v>72</v>
      </c>
      <c r="D232" s="8" t="n">
        <v>193.03536</v>
      </c>
      <c r="E232" s="9" t="n">
        <v>10.155</v>
      </c>
      <c r="F232" s="10" t="n">
        <v>239600.017414381</v>
      </c>
      <c r="G232" s="10" t="n">
        <v>45077.6419867452</v>
      </c>
      <c r="H232" s="10" t="n">
        <v>332388.876322637</v>
      </c>
      <c r="I232" s="10" t="n">
        <v>74175.2273784239</v>
      </c>
      <c r="J232" s="10" t="n">
        <v>285994.446868509</v>
      </c>
      <c r="K232" s="11" t="n">
        <v>1.38726566011797</v>
      </c>
      <c r="L232" s="11" t="n">
        <v>0.472244088912281</v>
      </c>
      <c r="M232" s="11" t="n">
        <v>0.637782574915764</v>
      </c>
      <c r="N232" s="11" t="n">
        <v>0.10355147593645</v>
      </c>
      <c r="O232" s="12" t="n">
        <v>0.0299372226395078</v>
      </c>
      <c r="P232" s="12" t="n">
        <v>0.117408171542455</v>
      </c>
      <c r="Q232" s="4" t="n">
        <f aca="false">RANK(N232,$N$7:$N$307,0)</f>
        <v>226</v>
      </c>
      <c r="R232" s="4" t="n">
        <f aca="false">RANK(O232,$O$7:$O$307,1)</f>
        <v>76</v>
      </c>
      <c r="S232" s="4" t="n">
        <f aca="false">RANK(J232,$J$7:$J$307,0)</f>
        <v>237</v>
      </c>
      <c r="T232" s="4" t="str">
        <f aca="false">IF(O232&lt;0.05,"YES","no")</f>
        <v>YES</v>
      </c>
      <c r="U232" s="4" t="str">
        <f aca="false">IF(P232&lt;0.05,"YES","no")</f>
        <v>no</v>
      </c>
      <c r="V232" s="4" t="str">
        <f aca="false">IF(N232&gt;1,"YES","no")</f>
        <v>no</v>
      </c>
    </row>
    <row r="233" customFormat="false" ht="15" hidden="false" customHeight="false" outlineLevel="0" collapsed="false">
      <c r="A233" s="4" t="s">
        <v>329</v>
      </c>
      <c r="B233" s="4" t="s">
        <v>330</v>
      </c>
      <c r="C233" s="4" t="s">
        <v>72</v>
      </c>
      <c r="D233" s="8" t="n">
        <v>146.16515</v>
      </c>
      <c r="E233" s="9" t="n">
        <v>14.215</v>
      </c>
      <c r="F233" s="10" t="n">
        <v>6183561.82794484</v>
      </c>
      <c r="G233" s="10" t="n">
        <v>1178096.28167127</v>
      </c>
      <c r="H233" s="10" t="n">
        <v>5771011.40049698</v>
      </c>
      <c r="I233" s="10" t="n">
        <v>1157190.71392911</v>
      </c>
      <c r="J233" s="10" t="n">
        <v>5977286.61422091</v>
      </c>
      <c r="K233" s="11" t="n">
        <v>0.933282719745204</v>
      </c>
      <c r="L233" s="11" t="n">
        <v>-0.0996139113572307</v>
      </c>
      <c r="M233" s="11" t="n">
        <v>0.189988357885335</v>
      </c>
      <c r="N233" s="11" t="n">
        <v>0.0997557027854111</v>
      </c>
      <c r="O233" s="12" t="n">
        <v>0.554238250962193</v>
      </c>
      <c r="P233" s="12" t="n">
        <v>0.681652568082433</v>
      </c>
      <c r="Q233" s="4" t="n">
        <f aca="false">RANK(N233,$N$7:$N$307,0)</f>
        <v>227</v>
      </c>
      <c r="R233" s="4" t="n">
        <f aca="false">RANK(O233,$O$7:$O$307,1)</f>
        <v>243</v>
      </c>
      <c r="S233" s="4" t="n">
        <f aca="false">RANK(J233,$J$7:$J$307,0)</f>
        <v>93</v>
      </c>
      <c r="T233" s="4" t="str">
        <f aca="false">IF(O233&lt;0.05,"YES","no")</f>
        <v>no</v>
      </c>
      <c r="U233" s="4" t="str">
        <f aca="false">IF(P233&lt;0.05,"YES","no")</f>
        <v>no</v>
      </c>
      <c r="V233" s="4" t="str">
        <f aca="false">IF(N233&gt;1,"YES","no")</f>
        <v>no</v>
      </c>
    </row>
    <row r="234" customFormat="false" ht="15" hidden="false" customHeight="false" outlineLevel="0" collapsed="false">
      <c r="A234" s="4" t="s">
        <v>331</v>
      </c>
      <c r="B234" s="4"/>
      <c r="C234" s="4" t="s">
        <v>72</v>
      </c>
      <c r="D234" s="8" t="n">
        <v>251.07857</v>
      </c>
      <c r="E234" s="9" t="n">
        <v>8.282</v>
      </c>
      <c r="F234" s="10" t="n">
        <v>79240.9384725091</v>
      </c>
      <c r="G234" s="10" t="n">
        <v>88678.2601203372</v>
      </c>
      <c r="H234" s="10" t="n">
        <v>42101.2716601928</v>
      </c>
      <c r="I234" s="10" t="n">
        <v>17560.080456335</v>
      </c>
      <c r="J234" s="10" t="n">
        <v>60671.1050663509</v>
      </c>
      <c r="K234" s="11" t="n">
        <v>0.531307080301666</v>
      </c>
      <c r="L234" s="11" t="n">
        <v>-0.912382156313083</v>
      </c>
      <c r="M234" s="11" t="n">
        <v>0.303247425986089</v>
      </c>
      <c r="N234" s="11" t="n">
        <v>0.0996631518000275</v>
      </c>
      <c r="O234" s="12" t="n">
        <v>0.357259095137785</v>
      </c>
      <c r="P234" s="12" t="n">
        <v>0.527132292335653</v>
      </c>
      <c r="Q234" s="4" t="n">
        <f aca="false">RANK(N234,$N$7:$N$307,0)</f>
        <v>228</v>
      </c>
      <c r="R234" s="4" t="n">
        <f aca="false">RANK(O234,$O$7:$O$307,1)</f>
        <v>204</v>
      </c>
      <c r="S234" s="4" t="n">
        <f aca="false">RANK(J234,$J$7:$J$307,0)</f>
        <v>285</v>
      </c>
      <c r="T234" s="4" t="str">
        <f aca="false">IF(O234&lt;0.05,"YES","no")</f>
        <v>no</v>
      </c>
      <c r="U234" s="4" t="str">
        <f aca="false">IF(P234&lt;0.05,"YES","no")</f>
        <v>no</v>
      </c>
      <c r="V234" s="4" t="str">
        <f aca="false">IF(N234&gt;1,"YES","no")</f>
        <v>no</v>
      </c>
    </row>
    <row r="235" customFormat="false" ht="15" hidden="false" customHeight="false" outlineLevel="0" collapsed="false">
      <c r="A235" s="4" t="s">
        <v>332</v>
      </c>
      <c r="B235" s="4"/>
      <c r="C235" s="4" t="s">
        <v>72</v>
      </c>
      <c r="D235" s="8" t="n">
        <v>206.1024</v>
      </c>
      <c r="E235" s="9" t="n">
        <v>5.024</v>
      </c>
      <c r="F235" s="10" t="n">
        <v>310188.744406188</v>
      </c>
      <c r="G235" s="10" t="n">
        <v>268122.083569167</v>
      </c>
      <c r="H235" s="10" t="n">
        <v>485329.38046867</v>
      </c>
      <c r="I235" s="10" t="n">
        <v>99723.0408097916</v>
      </c>
      <c r="J235" s="10" t="n">
        <v>397759.062437429</v>
      </c>
      <c r="K235" s="11" t="n">
        <v>1.56462601954743</v>
      </c>
      <c r="L235" s="11" t="n">
        <v>0.645817862129025</v>
      </c>
      <c r="M235" s="11" t="n">
        <v>0.42849412716327</v>
      </c>
      <c r="N235" s="11" t="n">
        <v>0.0996145732130848</v>
      </c>
      <c r="O235" s="12" t="n">
        <v>0.181627509578743</v>
      </c>
      <c r="P235" s="12" t="n">
        <v>0.343835725680514</v>
      </c>
      <c r="Q235" s="4" t="n">
        <f aca="false">RANK(N235,$N$7:$N$307,0)</f>
        <v>229</v>
      </c>
      <c r="R235" s="4" t="n">
        <f aca="false">RANK(O235,$O$7:$O$307,1)</f>
        <v>159</v>
      </c>
      <c r="S235" s="4" t="n">
        <f aca="false">RANK(J235,$J$7:$J$307,0)</f>
        <v>217</v>
      </c>
      <c r="T235" s="4" t="str">
        <f aca="false">IF(O235&lt;0.05,"YES","no")</f>
        <v>no</v>
      </c>
      <c r="U235" s="4" t="str">
        <f aca="false">IF(P235&lt;0.05,"YES","no")</f>
        <v>no</v>
      </c>
      <c r="V235" s="4" t="str">
        <f aca="false">IF(N235&gt;1,"YES","no")</f>
        <v>no</v>
      </c>
    </row>
    <row r="236" customFormat="false" ht="15" hidden="false" customHeight="false" outlineLevel="0" collapsed="false">
      <c r="A236" s="4" t="s">
        <v>333</v>
      </c>
      <c r="B236" s="4"/>
      <c r="C236" s="4" t="s">
        <v>72</v>
      </c>
      <c r="D236" s="8" t="n">
        <v>329.23316</v>
      </c>
      <c r="E236" s="9" t="n">
        <v>4.472</v>
      </c>
      <c r="F236" s="10" t="n">
        <v>324944.7861515</v>
      </c>
      <c r="G236" s="10" t="n">
        <v>225498.328263266</v>
      </c>
      <c r="H236" s="10" t="n">
        <v>469860.548716054</v>
      </c>
      <c r="I236" s="10" t="n">
        <v>298917.632277401</v>
      </c>
      <c r="J236" s="10" t="n">
        <v>397402.667433777</v>
      </c>
      <c r="K236" s="11" t="n">
        <v>1.44597041940839</v>
      </c>
      <c r="L236" s="11" t="n">
        <v>0.532038039004565</v>
      </c>
      <c r="M236" s="11" t="n">
        <v>0.287162224855475</v>
      </c>
      <c r="N236" s="11" t="n">
        <v>0.0992841606202421</v>
      </c>
      <c r="O236" s="12" t="n">
        <v>0.36710677632195</v>
      </c>
      <c r="P236" s="12" t="n">
        <v>0.529955594796578</v>
      </c>
      <c r="Q236" s="4" t="n">
        <f aca="false">RANK(N236,$N$7:$N$307,0)</f>
        <v>230</v>
      </c>
      <c r="R236" s="4" t="n">
        <f aca="false">RANK(O236,$O$7:$O$307,1)</f>
        <v>208</v>
      </c>
      <c r="S236" s="4" t="n">
        <f aca="false">RANK(J236,$J$7:$J$307,0)</f>
        <v>218</v>
      </c>
      <c r="T236" s="4" t="str">
        <f aca="false">IF(O236&lt;0.05,"YES","no")</f>
        <v>no</v>
      </c>
      <c r="U236" s="4" t="str">
        <f aca="false">IF(P236&lt;0.05,"YES","no")</f>
        <v>no</v>
      </c>
      <c r="V236" s="4" t="str">
        <f aca="false">IF(N236&gt;1,"YES","no")</f>
        <v>no</v>
      </c>
    </row>
    <row r="237" customFormat="false" ht="15" hidden="false" customHeight="false" outlineLevel="0" collapsed="false">
      <c r="A237" s="4" t="s">
        <v>334</v>
      </c>
      <c r="B237" s="4"/>
      <c r="C237" s="4" t="s">
        <v>72</v>
      </c>
      <c r="D237" s="8" t="n">
        <v>425.04451</v>
      </c>
      <c r="E237" s="9" t="n">
        <v>12.572</v>
      </c>
      <c r="F237" s="10" t="n">
        <v>299939.843907909</v>
      </c>
      <c r="G237" s="10" t="n">
        <v>207236.268571886</v>
      </c>
      <c r="H237" s="10" t="n">
        <v>457932.325893648</v>
      </c>
      <c r="I237" s="10" t="n">
        <v>181331.897319841</v>
      </c>
      <c r="J237" s="10" t="n">
        <v>378936.084900778</v>
      </c>
      <c r="K237" s="11" t="n">
        <v>1.52674723013542</v>
      </c>
      <c r="L237" s="11" t="n">
        <v>0.610461227808624</v>
      </c>
      <c r="M237" s="11" t="n">
        <v>0.406122377670377</v>
      </c>
      <c r="N237" s="11" t="n">
        <v>0.0987047984384363</v>
      </c>
      <c r="O237" s="12" t="n">
        <v>0.190723102949809</v>
      </c>
      <c r="P237" s="12" t="n">
        <v>0.354368234493164</v>
      </c>
      <c r="Q237" s="4" t="n">
        <f aca="false">RANK(N237,$N$7:$N$307,0)</f>
        <v>231</v>
      </c>
      <c r="R237" s="4" t="n">
        <f aca="false">RANK(O237,$O$7:$O$307,1)</f>
        <v>162</v>
      </c>
      <c r="S237" s="4" t="n">
        <f aca="false">RANK(J237,$J$7:$J$307,0)</f>
        <v>222</v>
      </c>
      <c r="T237" s="4" t="str">
        <f aca="false">IF(O237&lt;0.05,"YES","no")</f>
        <v>no</v>
      </c>
      <c r="U237" s="4" t="str">
        <f aca="false">IF(P237&lt;0.05,"YES","no")</f>
        <v>no</v>
      </c>
      <c r="V237" s="4" t="str">
        <f aca="false">IF(N237&gt;1,"YES","no")</f>
        <v>no</v>
      </c>
    </row>
    <row r="238" customFormat="false" ht="15" hidden="false" customHeight="false" outlineLevel="0" collapsed="false">
      <c r="A238" s="4" t="s">
        <v>335</v>
      </c>
      <c r="B238" s="4"/>
      <c r="C238" s="4" t="s">
        <v>72</v>
      </c>
      <c r="D238" s="8" t="n">
        <v>240.1092</v>
      </c>
      <c r="E238" s="9" t="n">
        <v>9.82</v>
      </c>
      <c r="F238" s="10" t="n">
        <v>125446.163866128</v>
      </c>
      <c r="G238" s="10" t="n">
        <v>30100.6753663021</v>
      </c>
      <c r="H238" s="10" t="n">
        <v>221430.455924506</v>
      </c>
      <c r="I238" s="10" t="n">
        <v>76976.1524947475</v>
      </c>
      <c r="J238" s="10" t="n">
        <v>173438.309895317</v>
      </c>
      <c r="K238" s="11" t="n">
        <v>1.76514330211651</v>
      </c>
      <c r="L238" s="11" t="n">
        <v>0.819785312595901</v>
      </c>
      <c r="M238" s="11" t="n">
        <v>0.668776725405629</v>
      </c>
      <c r="N238" s="11" t="n">
        <v>0.0976111074936527</v>
      </c>
      <c r="O238" s="12" t="n">
        <v>0.0269586473956358</v>
      </c>
      <c r="P238" s="12" t="n">
        <v>0.117408171542455</v>
      </c>
      <c r="Q238" s="4" t="n">
        <f aca="false">RANK(N238,$N$7:$N$307,0)</f>
        <v>232</v>
      </c>
      <c r="R238" s="4" t="n">
        <f aca="false">RANK(O238,$O$7:$O$307,1)</f>
        <v>68</v>
      </c>
      <c r="S238" s="4" t="n">
        <f aca="false">RANK(J238,$J$7:$J$307,0)</f>
        <v>258</v>
      </c>
      <c r="T238" s="4" t="str">
        <f aca="false">IF(O238&lt;0.05,"YES","no")</f>
        <v>YES</v>
      </c>
      <c r="U238" s="4" t="str">
        <f aca="false">IF(P238&lt;0.05,"YES","no")</f>
        <v>no</v>
      </c>
      <c r="V238" s="4" t="str">
        <f aca="false">IF(N238&gt;1,"YES","no")</f>
        <v>no</v>
      </c>
    </row>
    <row r="239" customFormat="false" ht="15" hidden="false" customHeight="false" outlineLevel="0" collapsed="false">
      <c r="A239" s="4" t="s">
        <v>336</v>
      </c>
      <c r="B239" s="4"/>
      <c r="C239" s="4" t="s">
        <v>72</v>
      </c>
      <c r="D239" s="8" t="n">
        <v>260.16046</v>
      </c>
      <c r="E239" s="9" t="n">
        <v>6.994</v>
      </c>
      <c r="F239" s="10" t="n">
        <v>297564.267667853</v>
      </c>
      <c r="G239" s="10" t="n">
        <v>101770.531153225</v>
      </c>
      <c r="H239" s="10" t="n">
        <v>477556.536693328</v>
      </c>
      <c r="I239" s="10" t="n">
        <v>259633.787157707</v>
      </c>
      <c r="J239" s="10" t="n">
        <v>387560.40218059</v>
      </c>
      <c r="K239" s="11" t="n">
        <v>1.60488535950958</v>
      </c>
      <c r="L239" s="11" t="n">
        <v>0.682470246148823</v>
      </c>
      <c r="M239" s="11" t="n">
        <v>0.447182254656807</v>
      </c>
      <c r="N239" s="11" t="n">
        <v>0.0973776409173839</v>
      </c>
      <c r="O239" s="12" t="n">
        <v>0.161157356179054</v>
      </c>
      <c r="P239" s="12" t="n">
        <v>0.314989377986332</v>
      </c>
      <c r="Q239" s="4" t="n">
        <f aca="false">RANK(N239,$N$7:$N$307,0)</f>
        <v>233</v>
      </c>
      <c r="R239" s="4" t="n">
        <f aca="false">RANK(O239,$O$7:$O$307,1)</f>
        <v>154</v>
      </c>
      <c r="S239" s="4" t="n">
        <f aca="false">RANK(J239,$J$7:$J$307,0)</f>
        <v>219</v>
      </c>
      <c r="T239" s="4" t="str">
        <f aca="false">IF(O239&lt;0.05,"YES","no")</f>
        <v>no</v>
      </c>
      <c r="U239" s="4" t="str">
        <f aca="false">IF(P239&lt;0.05,"YES","no")</f>
        <v>no</v>
      </c>
      <c r="V239" s="4" t="str">
        <f aca="false">IF(N239&gt;1,"YES","no")</f>
        <v>no</v>
      </c>
    </row>
    <row r="240" customFormat="false" ht="15" hidden="false" customHeight="false" outlineLevel="0" collapsed="false">
      <c r="A240" s="4" t="s">
        <v>337</v>
      </c>
      <c r="B240" s="4"/>
      <c r="C240" s="4" t="s">
        <v>72</v>
      </c>
      <c r="D240" s="8" t="n">
        <v>187.1077</v>
      </c>
      <c r="E240" s="9" t="n">
        <v>9.366</v>
      </c>
      <c r="F240" s="10" t="n">
        <v>431395.673824432</v>
      </c>
      <c r="G240" s="10" t="n">
        <v>148951.876219864</v>
      </c>
      <c r="H240" s="10" t="n">
        <v>568659.556612545</v>
      </c>
      <c r="I240" s="10" t="n">
        <v>139207.651587982</v>
      </c>
      <c r="J240" s="10" t="n">
        <v>500027.615218488</v>
      </c>
      <c r="K240" s="11" t="n">
        <v>1.31818558023829</v>
      </c>
      <c r="L240" s="11" t="n">
        <v>0.398553493898351</v>
      </c>
      <c r="M240" s="11" t="n">
        <v>0.462408915572632</v>
      </c>
      <c r="N240" s="11" t="n">
        <v>0.0973763608642767</v>
      </c>
      <c r="O240" s="12" t="n">
        <v>0.130267350253424</v>
      </c>
      <c r="P240" s="12" t="n">
        <v>0.275628261317842</v>
      </c>
      <c r="Q240" s="4" t="n">
        <f aca="false">RANK(N240,$N$7:$N$307,0)</f>
        <v>234</v>
      </c>
      <c r="R240" s="4" t="n">
        <f aca="false">RANK(O240,$O$7:$O$307,1)</f>
        <v>142</v>
      </c>
      <c r="S240" s="4" t="n">
        <f aca="false">RANK(J240,$J$7:$J$307,0)</f>
        <v>201</v>
      </c>
      <c r="T240" s="4" t="str">
        <f aca="false">IF(O240&lt;0.05,"YES","no")</f>
        <v>no</v>
      </c>
      <c r="U240" s="4" t="str">
        <f aca="false">IF(P240&lt;0.05,"YES","no")</f>
        <v>no</v>
      </c>
      <c r="V240" s="4" t="str">
        <f aca="false">IF(N240&gt;1,"YES","no")</f>
        <v>no</v>
      </c>
    </row>
    <row r="241" customFormat="false" ht="15" hidden="false" customHeight="false" outlineLevel="0" collapsed="false">
      <c r="A241" s="4" t="s">
        <v>338</v>
      </c>
      <c r="B241" s="4" t="s">
        <v>339</v>
      </c>
      <c r="C241" s="4" t="s">
        <v>72</v>
      </c>
      <c r="D241" s="8" t="n">
        <v>342.56692</v>
      </c>
      <c r="E241" s="9" t="n">
        <v>5.026</v>
      </c>
      <c r="F241" s="10" t="n">
        <v>119750.980912974</v>
      </c>
      <c r="G241" s="10" t="n">
        <v>120767.435096804</v>
      </c>
      <c r="H241" s="10" t="n">
        <v>250253.252827557</v>
      </c>
      <c r="I241" s="10" t="n">
        <v>130960.976470814</v>
      </c>
      <c r="J241" s="10" t="n">
        <v>185002.116870266</v>
      </c>
      <c r="K241" s="11" t="n">
        <v>2.08978040029103</v>
      </c>
      <c r="L241" s="11" t="n">
        <v>1.06335134802078</v>
      </c>
      <c r="M241" s="11" t="n">
        <v>0.493522228251241</v>
      </c>
      <c r="N241" s="11" t="n">
        <v>0.0972315139627687</v>
      </c>
      <c r="O241" s="12" t="n">
        <v>0.103182886497889</v>
      </c>
      <c r="P241" s="12" t="n">
        <v>0.233519164179433</v>
      </c>
      <c r="Q241" s="4" t="n">
        <f aca="false">RANK(N241,$N$7:$N$307,0)</f>
        <v>235</v>
      </c>
      <c r="R241" s="4" t="n">
        <f aca="false">RANK(O241,$O$7:$O$307,1)</f>
        <v>133</v>
      </c>
      <c r="S241" s="4" t="n">
        <f aca="false">RANK(J241,$J$7:$J$307,0)</f>
        <v>254</v>
      </c>
      <c r="T241" s="4" t="str">
        <f aca="false">IF(O241&lt;0.05,"YES","no")</f>
        <v>no</v>
      </c>
      <c r="U241" s="4" t="str">
        <f aca="false">IF(P241&lt;0.05,"YES","no")</f>
        <v>no</v>
      </c>
      <c r="V241" s="4" t="str">
        <f aca="false">IF(N241&gt;1,"YES","no")</f>
        <v>no</v>
      </c>
    </row>
    <row r="242" customFormat="false" ht="15" hidden="false" customHeight="false" outlineLevel="0" collapsed="false">
      <c r="A242" s="4" t="s">
        <v>340</v>
      </c>
      <c r="B242" s="4"/>
      <c r="C242" s="4" t="s">
        <v>72</v>
      </c>
      <c r="D242" s="8" t="n">
        <v>118.04975</v>
      </c>
      <c r="E242" s="9" t="n">
        <v>7.787</v>
      </c>
      <c r="F242" s="10" t="n">
        <v>191290.391016187</v>
      </c>
      <c r="G242" s="10" t="n">
        <v>52549.0369184166</v>
      </c>
      <c r="H242" s="10" t="n">
        <v>273288.57125825</v>
      </c>
      <c r="I242" s="10" t="n">
        <v>74731.9594606399</v>
      </c>
      <c r="J242" s="10" t="n">
        <v>232289.481137218</v>
      </c>
      <c r="K242" s="11" t="n">
        <v>1.42865812446965</v>
      </c>
      <c r="L242" s="11" t="n">
        <v>0.514660723192892</v>
      </c>
      <c r="M242" s="11" t="n">
        <v>0.570835479213198</v>
      </c>
      <c r="N242" s="11" t="n">
        <v>0.0948970824072291</v>
      </c>
      <c r="O242" s="12" t="n">
        <v>0.0555600754323611</v>
      </c>
      <c r="P242" s="12" t="n">
        <v>0.16869535466284</v>
      </c>
      <c r="Q242" s="4" t="n">
        <f aca="false">RANK(N242,$N$7:$N$307,0)</f>
        <v>236</v>
      </c>
      <c r="R242" s="4" t="n">
        <f aca="false">RANK(O242,$O$7:$O$307,1)</f>
        <v>99</v>
      </c>
      <c r="S242" s="4" t="n">
        <f aca="false">RANK(J242,$J$7:$J$307,0)</f>
        <v>246</v>
      </c>
      <c r="T242" s="4" t="str">
        <f aca="false">IF(O242&lt;0.05,"YES","no")</f>
        <v>no</v>
      </c>
      <c r="U242" s="4" t="str">
        <f aca="false">IF(P242&lt;0.05,"YES","no")</f>
        <v>no</v>
      </c>
      <c r="V242" s="4" t="str">
        <f aca="false">IF(N242&gt;1,"YES","no")</f>
        <v>no</v>
      </c>
    </row>
    <row r="243" customFormat="false" ht="15" hidden="false" customHeight="false" outlineLevel="0" collapsed="false">
      <c r="A243" s="4" t="s">
        <v>341</v>
      </c>
      <c r="B243" s="4"/>
      <c r="C243" s="4" t="s">
        <v>72</v>
      </c>
      <c r="D243" s="8" t="n">
        <v>223.1076</v>
      </c>
      <c r="E243" s="9" t="n">
        <v>6.888</v>
      </c>
      <c r="F243" s="10" t="n">
        <v>273475.724519662</v>
      </c>
      <c r="G243" s="10" t="n">
        <v>159385.944380216</v>
      </c>
      <c r="H243" s="10" t="n">
        <v>403984.893799971</v>
      </c>
      <c r="I243" s="10" t="n">
        <v>98352.3162607718</v>
      </c>
      <c r="J243" s="10" t="n">
        <v>338730.309159816</v>
      </c>
      <c r="K243" s="11" t="n">
        <v>1.47722396388029</v>
      </c>
      <c r="L243" s="11" t="n">
        <v>0.562888571589848</v>
      </c>
      <c r="M243" s="11" t="n">
        <v>0.474989096458596</v>
      </c>
      <c r="N243" s="11" t="n">
        <v>0.0930600627939198</v>
      </c>
      <c r="O243" s="12" t="n">
        <v>0.124752253064948</v>
      </c>
      <c r="P243" s="12" t="n">
        <v>0.268217344089637</v>
      </c>
      <c r="Q243" s="4" t="n">
        <f aca="false">RANK(N243,$N$7:$N$307,0)</f>
        <v>237</v>
      </c>
      <c r="R243" s="4" t="n">
        <f aca="false">RANK(O243,$O$7:$O$307,1)</f>
        <v>140</v>
      </c>
      <c r="S243" s="4" t="n">
        <f aca="false">RANK(J243,$J$7:$J$307,0)</f>
        <v>226</v>
      </c>
      <c r="T243" s="4" t="str">
        <f aca="false">IF(O243&lt;0.05,"YES","no")</f>
        <v>no</v>
      </c>
      <c r="U243" s="4" t="str">
        <f aca="false">IF(P243&lt;0.05,"YES","no")</f>
        <v>no</v>
      </c>
      <c r="V243" s="4" t="str">
        <f aca="false">IF(N243&gt;1,"YES","no")</f>
        <v>no</v>
      </c>
    </row>
    <row r="244" customFormat="false" ht="15" hidden="false" customHeight="false" outlineLevel="0" collapsed="false">
      <c r="A244" s="4" t="s">
        <v>342</v>
      </c>
      <c r="B244" s="4"/>
      <c r="C244" s="4" t="s">
        <v>61</v>
      </c>
      <c r="D244" s="8" t="n">
        <v>184.9855</v>
      </c>
      <c r="E244" s="9" t="n">
        <v>10.148</v>
      </c>
      <c r="F244" s="10" t="n">
        <v>235810.62036711</v>
      </c>
      <c r="G244" s="10" t="n">
        <v>232455.942643831</v>
      </c>
      <c r="H244" s="10" t="n">
        <v>274031.612612643</v>
      </c>
      <c r="I244" s="10" t="n">
        <v>330749.259255123</v>
      </c>
      <c r="J244" s="10" t="n">
        <v>254921.116489877</v>
      </c>
      <c r="K244" s="11" t="n">
        <v>1.16208342179852</v>
      </c>
      <c r="L244" s="11" t="n">
        <v>0.216713638359562</v>
      </c>
      <c r="M244" s="11" t="n">
        <v>0.0730380373590193</v>
      </c>
      <c r="N244" s="11" t="n">
        <v>0.0927499265288847</v>
      </c>
      <c r="O244" s="12" t="n">
        <v>0.822056458292799</v>
      </c>
      <c r="P244" s="12" t="n">
        <v>0.88247757420166</v>
      </c>
      <c r="Q244" s="4" t="n">
        <f aca="false">RANK(N244,$N$7:$N$307,0)</f>
        <v>238</v>
      </c>
      <c r="R244" s="4" t="n">
        <f aca="false">RANK(O244,$O$7:$O$307,1)</f>
        <v>280</v>
      </c>
      <c r="S244" s="4" t="n">
        <f aca="false">RANK(J244,$J$7:$J$307,0)</f>
        <v>242</v>
      </c>
      <c r="T244" s="4" t="str">
        <f aca="false">IF(O244&lt;0.05,"YES","no")</f>
        <v>no</v>
      </c>
      <c r="U244" s="4" t="str">
        <f aca="false">IF(P244&lt;0.05,"YES","no")</f>
        <v>no</v>
      </c>
      <c r="V244" s="4" t="str">
        <f aca="false">IF(N244&gt;1,"YES","no")</f>
        <v>no</v>
      </c>
    </row>
    <row r="245" customFormat="false" ht="15" hidden="false" customHeight="false" outlineLevel="0" collapsed="false">
      <c r="A245" s="4" t="s">
        <v>343</v>
      </c>
      <c r="B245" s="4"/>
      <c r="C245" s="4" t="s">
        <v>61</v>
      </c>
      <c r="D245" s="8" t="n">
        <v>158.08232</v>
      </c>
      <c r="E245" s="9" t="n">
        <v>5.021</v>
      </c>
      <c r="F245" s="10" t="n">
        <v>388458.117055178</v>
      </c>
      <c r="G245" s="10" t="n">
        <v>305831.400929195</v>
      </c>
      <c r="H245" s="10" t="n">
        <v>579271.080604048</v>
      </c>
      <c r="I245" s="10" t="n">
        <v>426828.932270399</v>
      </c>
      <c r="J245" s="10" t="n">
        <v>483864.598829613</v>
      </c>
      <c r="K245" s="11" t="n">
        <v>1.49120601468026</v>
      </c>
      <c r="L245" s="11" t="n">
        <v>0.576479584131036</v>
      </c>
      <c r="M245" s="11" t="n">
        <v>0.270953712772965</v>
      </c>
      <c r="N245" s="11" t="n">
        <v>0.0927054801159906</v>
      </c>
      <c r="O245" s="12" t="n">
        <v>0.396410177206198</v>
      </c>
      <c r="P245" s="12" t="n">
        <v>0.547754698143281</v>
      </c>
      <c r="Q245" s="4" t="n">
        <f aca="false">RANK(N245,$N$7:$N$307,0)</f>
        <v>239</v>
      </c>
      <c r="R245" s="4" t="n">
        <f aca="false">RANK(O245,$O$7:$O$307,1)</f>
        <v>217</v>
      </c>
      <c r="S245" s="4" t="n">
        <f aca="false">RANK(J245,$J$7:$J$307,0)</f>
        <v>205</v>
      </c>
      <c r="T245" s="4" t="str">
        <f aca="false">IF(O245&lt;0.05,"YES","no")</f>
        <v>no</v>
      </c>
      <c r="U245" s="4" t="str">
        <f aca="false">IF(P245&lt;0.05,"YES","no")</f>
        <v>no</v>
      </c>
      <c r="V245" s="4" t="str">
        <f aca="false">IF(N245&gt;1,"YES","no")</f>
        <v>no</v>
      </c>
    </row>
    <row r="246" customFormat="false" ht="15" hidden="false" customHeight="false" outlineLevel="0" collapsed="false">
      <c r="A246" s="4" t="s">
        <v>344</v>
      </c>
      <c r="B246" s="4"/>
      <c r="C246" s="4" t="s">
        <v>72</v>
      </c>
      <c r="D246" s="8" t="n">
        <v>206.08088</v>
      </c>
      <c r="E246" s="9" t="n">
        <v>6.826</v>
      </c>
      <c r="F246" s="10" t="n">
        <v>210200.687151304</v>
      </c>
      <c r="G246" s="10" t="n">
        <v>86490.9389124247</v>
      </c>
      <c r="H246" s="10" t="n">
        <v>148885.057217533</v>
      </c>
      <c r="I246" s="10" t="n">
        <v>114075.630303474</v>
      </c>
      <c r="J246" s="10" t="n">
        <v>179542.872184419</v>
      </c>
      <c r="K246" s="11" t="n">
        <v>0.708299574255741</v>
      </c>
      <c r="L246" s="11" t="n">
        <v>-0.49756841977361</v>
      </c>
      <c r="M246" s="11" t="n">
        <v>0.314890111302276</v>
      </c>
      <c r="N246" s="11" t="n">
        <v>0.0916745725956478</v>
      </c>
      <c r="O246" s="12" t="n">
        <v>0.320554140488233</v>
      </c>
      <c r="P246" s="12" t="n">
        <v>0.492279572892643</v>
      </c>
      <c r="Q246" s="4" t="n">
        <f aca="false">RANK(N246,$N$7:$N$307,0)</f>
        <v>240</v>
      </c>
      <c r="R246" s="4" t="n">
        <f aca="false">RANK(O246,$O$7:$O$307,1)</f>
        <v>196</v>
      </c>
      <c r="S246" s="4" t="n">
        <f aca="false">RANK(J246,$J$7:$J$307,0)</f>
        <v>256</v>
      </c>
      <c r="T246" s="4" t="str">
        <f aca="false">IF(O246&lt;0.05,"YES","no")</f>
        <v>no</v>
      </c>
      <c r="U246" s="4" t="str">
        <f aca="false">IF(P246&lt;0.05,"YES","no")</f>
        <v>no</v>
      </c>
      <c r="V246" s="4" t="str">
        <f aca="false">IF(N246&gt;1,"YES","no")</f>
        <v>no</v>
      </c>
    </row>
    <row r="247" customFormat="false" ht="15" hidden="false" customHeight="false" outlineLevel="0" collapsed="false">
      <c r="A247" s="4" t="s">
        <v>345</v>
      </c>
      <c r="B247" s="4"/>
      <c r="C247" s="4" t="s">
        <v>72</v>
      </c>
      <c r="D247" s="8" t="n">
        <v>208.0967</v>
      </c>
      <c r="E247" s="9" t="n">
        <v>5.003</v>
      </c>
      <c r="F247" s="10" t="n">
        <v>117743.354056269</v>
      </c>
      <c r="G247" s="10" t="n">
        <v>63768.5332704712</v>
      </c>
      <c r="H247" s="10" t="n">
        <v>229494.466235504</v>
      </c>
      <c r="I247" s="10" t="n">
        <v>104259.341251115</v>
      </c>
      <c r="J247" s="10" t="n">
        <v>173618.910145887</v>
      </c>
      <c r="K247" s="11" t="n">
        <v>1.94910759995702</v>
      </c>
      <c r="L247" s="11" t="n">
        <v>0.962813736383125</v>
      </c>
      <c r="M247" s="11" t="n">
        <v>0.577987480193406</v>
      </c>
      <c r="N247" s="11" t="n">
        <v>0.0888973447271613</v>
      </c>
      <c r="O247" s="12" t="n">
        <v>0.0543447067797429</v>
      </c>
      <c r="P247" s="12" t="n">
        <v>0.168636667429924</v>
      </c>
      <c r="Q247" s="4" t="n">
        <f aca="false">RANK(N247,$N$7:$N$307,0)</f>
        <v>241</v>
      </c>
      <c r="R247" s="4" t="n">
        <f aca="false">RANK(O247,$O$7:$O$307,1)</f>
        <v>97</v>
      </c>
      <c r="S247" s="4" t="n">
        <f aca="false">RANK(J247,$J$7:$J$307,0)</f>
        <v>257</v>
      </c>
      <c r="T247" s="4" t="str">
        <f aca="false">IF(O247&lt;0.05,"YES","no")</f>
        <v>no</v>
      </c>
      <c r="U247" s="4" t="str">
        <f aca="false">IF(P247&lt;0.05,"YES","no")</f>
        <v>no</v>
      </c>
      <c r="V247" s="4" t="str">
        <f aca="false">IF(N247&gt;1,"YES","no")</f>
        <v>no</v>
      </c>
    </row>
    <row r="248" customFormat="false" ht="15" hidden="false" customHeight="false" outlineLevel="0" collapsed="false">
      <c r="A248" s="4" t="s">
        <v>346</v>
      </c>
      <c r="B248" s="4"/>
      <c r="C248" s="4" t="s">
        <v>72</v>
      </c>
      <c r="D248" s="8" t="n">
        <v>487.34341</v>
      </c>
      <c r="E248" s="9" t="n">
        <v>4.214</v>
      </c>
      <c r="F248" s="10" t="n">
        <v>19254.8669864861</v>
      </c>
      <c r="G248" s="10" t="n">
        <v>4485.21786929431</v>
      </c>
      <c r="H248" s="10" t="n">
        <v>88340.6197441325</v>
      </c>
      <c r="I248" s="10" t="n">
        <v>55005.9556954031</v>
      </c>
      <c r="J248" s="10" t="n">
        <v>53797.7433653093</v>
      </c>
      <c r="K248" s="11" t="n">
        <v>4.58796312673227</v>
      </c>
      <c r="L248" s="11" t="n">
        <v>2.19785379652064</v>
      </c>
      <c r="M248" s="11" t="n">
        <v>0.696128785974172</v>
      </c>
      <c r="N248" s="11" t="n">
        <v>0.087716824767805</v>
      </c>
      <c r="O248" s="12" t="n">
        <v>0.0274240197827999</v>
      </c>
      <c r="P248" s="12" t="n">
        <v>0.117408171542455</v>
      </c>
      <c r="Q248" s="4" t="n">
        <f aca="false">RANK(N248,$N$7:$N$307,0)</f>
        <v>242</v>
      </c>
      <c r="R248" s="4" t="n">
        <f aca="false">RANK(O248,$O$7:$O$307,1)</f>
        <v>69</v>
      </c>
      <c r="S248" s="4" t="n">
        <f aca="false">RANK(J248,$J$7:$J$307,0)</f>
        <v>289</v>
      </c>
      <c r="T248" s="4" t="str">
        <f aca="false">IF(O248&lt;0.05,"YES","no")</f>
        <v>YES</v>
      </c>
      <c r="U248" s="4" t="str">
        <f aca="false">IF(P248&lt;0.05,"YES","no")</f>
        <v>no</v>
      </c>
      <c r="V248" s="4" t="str">
        <f aca="false">IF(N248&gt;1,"YES","no")</f>
        <v>no</v>
      </c>
    </row>
    <row r="249" customFormat="false" ht="15" hidden="false" customHeight="false" outlineLevel="0" collapsed="false">
      <c r="A249" s="4" t="s">
        <v>347</v>
      </c>
      <c r="B249" s="4"/>
      <c r="C249" s="4" t="s">
        <v>72</v>
      </c>
      <c r="D249" s="8" t="n">
        <v>313.23841</v>
      </c>
      <c r="E249" s="9" t="n">
        <v>3.948</v>
      </c>
      <c r="F249" s="10" t="n">
        <v>1237297.11281194</v>
      </c>
      <c r="G249" s="10" t="n">
        <v>694645.233612479</v>
      </c>
      <c r="H249" s="10" t="n">
        <v>1237944.72303417</v>
      </c>
      <c r="I249" s="10" t="n">
        <v>443801.263439745</v>
      </c>
      <c r="J249" s="10" t="n">
        <v>1237620.91792306</v>
      </c>
      <c r="K249" s="11" t="n">
        <v>1.00052340720391</v>
      </c>
      <c r="L249" s="11" t="n">
        <v>0.000754919429544818</v>
      </c>
      <c r="M249" s="11" t="n">
        <v>0.000608551316168763</v>
      </c>
      <c r="N249" s="11" t="n">
        <v>0.087005108178707</v>
      </c>
      <c r="O249" s="12" t="n">
        <v>0.99850895428975</v>
      </c>
      <c r="P249" s="12" t="n">
        <v>0.999817705378382</v>
      </c>
      <c r="Q249" s="4" t="n">
        <f aca="false">RANK(N249,$N$7:$N$307,0)</f>
        <v>243</v>
      </c>
      <c r="R249" s="4" t="n">
        <f aca="false">RANK(O249,$O$7:$O$307,1)</f>
        <v>300</v>
      </c>
      <c r="S249" s="4" t="n">
        <f aca="false">RANK(J249,$J$7:$J$307,0)</f>
        <v>163</v>
      </c>
      <c r="T249" s="4" t="str">
        <f aca="false">IF(O249&lt;0.05,"YES","no")</f>
        <v>no</v>
      </c>
      <c r="U249" s="4" t="str">
        <f aca="false">IF(P249&lt;0.05,"YES","no")</f>
        <v>no</v>
      </c>
      <c r="V249" s="4" t="str">
        <f aca="false">IF(N249&gt;1,"YES","no")</f>
        <v>no</v>
      </c>
    </row>
    <row r="250" customFormat="false" ht="15" hidden="false" customHeight="false" outlineLevel="0" collapsed="false">
      <c r="A250" s="4" t="s">
        <v>348</v>
      </c>
      <c r="B250" s="4"/>
      <c r="C250" s="4" t="s">
        <v>61</v>
      </c>
      <c r="D250" s="8" t="n">
        <v>742.06864</v>
      </c>
      <c r="E250" s="9" t="n">
        <v>10.04</v>
      </c>
      <c r="F250" s="10" t="n">
        <v>224396.979006245</v>
      </c>
      <c r="G250" s="10" t="n">
        <v>122099.24895991</v>
      </c>
      <c r="H250" s="10" t="n">
        <v>357663.638716628</v>
      </c>
      <c r="I250" s="10" t="n">
        <v>160807.161084627</v>
      </c>
      <c r="J250" s="10" t="n">
        <v>291030.308861436</v>
      </c>
      <c r="K250" s="11" t="n">
        <v>1.59388794047301</v>
      </c>
      <c r="L250" s="11" t="n">
        <v>0.672550203100764</v>
      </c>
      <c r="M250" s="11" t="n">
        <v>0.455216200724466</v>
      </c>
      <c r="N250" s="11" t="n">
        <v>0.0859986384843985</v>
      </c>
      <c r="O250" s="12" t="n">
        <v>0.139203762777917</v>
      </c>
      <c r="P250" s="12" t="n">
        <v>0.28554522177727</v>
      </c>
      <c r="Q250" s="4" t="n">
        <f aca="false">RANK(N250,$N$7:$N$307,0)</f>
        <v>244</v>
      </c>
      <c r="R250" s="4" t="n">
        <f aca="false">RANK(O250,$O$7:$O$307,1)</f>
        <v>146</v>
      </c>
      <c r="S250" s="4" t="n">
        <f aca="false">RANK(J250,$J$7:$J$307,0)</f>
        <v>236</v>
      </c>
      <c r="T250" s="4" t="str">
        <f aca="false">IF(O250&lt;0.05,"YES","no")</f>
        <v>no</v>
      </c>
      <c r="U250" s="4" t="str">
        <f aca="false">IF(P250&lt;0.05,"YES","no")</f>
        <v>no</v>
      </c>
      <c r="V250" s="4" t="str">
        <f aca="false">IF(N250&gt;1,"YES","no")</f>
        <v>no</v>
      </c>
    </row>
    <row r="251" customFormat="false" ht="15" hidden="false" customHeight="false" outlineLevel="0" collapsed="false">
      <c r="A251" s="4" t="s">
        <v>349</v>
      </c>
      <c r="B251" s="4"/>
      <c r="C251" s="4" t="s">
        <v>72</v>
      </c>
      <c r="D251" s="8" t="n">
        <v>428.03662</v>
      </c>
      <c r="E251" s="9" t="n">
        <v>11.929</v>
      </c>
      <c r="F251" s="10" t="n">
        <v>460960.783440645</v>
      </c>
      <c r="G251" s="10" t="n">
        <v>219948.330843826</v>
      </c>
      <c r="H251" s="10" t="n">
        <v>454248.384344233</v>
      </c>
      <c r="I251" s="10" t="n">
        <v>96048.5296756964</v>
      </c>
      <c r="J251" s="10" t="n">
        <v>457604.583892439</v>
      </c>
      <c r="K251" s="11" t="n">
        <v>0.985438242606431</v>
      </c>
      <c r="L251" s="11" t="n">
        <v>-0.0211626344529366</v>
      </c>
      <c r="M251" s="11" t="n">
        <v>0.0216586064348981</v>
      </c>
      <c r="N251" s="11" t="n">
        <v>0.0841099312068943</v>
      </c>
      <c r="O251" s="12" t="n">
        <v>0.947341892100354</v>
      </c>
      <c r="P251" s="12" t="n">
        <v>0.966609862787141</v>
      </c>
      <c r="Q251" s="4" t="n">
        <f aca="false">RANK(N251,$N$7:$N$307,0)</f>
        <v>245</v>
      </c>
      <c r="R251" s="4" t="n">
        <f aca="false">RANK(O251,$O$7:$O$307,1)</f>
        <v>295</v>
      </c>
      <c r="S251" s="4" t="n">
        <f aca="false">RANK(J251,$J$7:$J$307,0)</f>
        <v>208</v>
      </c>
      <c r="T251" s="4" t="str">
        <f aca="false">IF(O251&lt;0.05,"YES","no")</f>
        <v>no</v>
      </c>
      <c r="U251" s="4" t="str">
        <f aca="false">IF(P251&lt;0.05,"YES","no")</f>
        <v>no</v>
      </c>
      <c r="V251" s="4" t="str">
        <f aca="false">IF(N251&gt;1,"YES","no")</f>
        <v>no</v>
      </c>
    </row>
    <row r="252" customFormat="false" ht="15" hidden="false" customHeight="false" outlineLevel="0" collapsed="false">
      <c r="A252" s="4" t="s">
        <v>350</v>
      </c>
      <c r="B252" s="4"/>
      <c r="C252" s="4" t="s">
        <v>72</v>
      </c>
      <c r="D252" s="8" t="n">
        <v>144.0666</v>
      </c>
      <c r="E252" s="9" t="n">
        <v>6.819</v>
      </c>
      <c r="F252" s="10" t="n">
        <v>363361.274697697</v>
      </c>
      <c r="G252" s="10" t="n">
        <v>207922.428877476</v>
      </c>
      <c r="H252" s="10" t="n">
        <v>509326.936297486</v>
      </c>
      <c r="I252" s="10" t="n">
        <v>216429.364118151</v>
      </c>
      <c r="J252" s="10" t="n">
        <v>436344.105497591</v>
      </c>
      <c r="K252" s="11" t="n">
        <v>1.4017094604295</v>
      </c>
      <c r="L252" s="11" t="n">
        <v>0.487187345471742</v>
      </c>
      <c r="M252" s="11" t="n">
        <v>0.352540826461571</v>
      </c>
      <c r="N252" s="11" t="n">
        <v>0.0839471576958619</v>
      </c>
      <c r="O252" s="12" t="n">
        <v>0.261078941997435</v>
      </c>
      <c r="P252" s="12" t="n">
        <v>0.422498717963591</v>
      </c>
      <c r="Q252" s="4" t="n">
        <f aca="false">RANK(N252,$N$7:$N$307,0)</f>
        <v>246</v>
      </c>
      <c r="R252" s="4" t="n">
        <f aca="false">RANK(O252,$O$7:$O$307,1)</f>
        <v>186</v>
      </c>
      <c r="S252" s="4" t="n">
        <f aca="false">RANK(J252,$J$7:$J$307,0)</f>
        <v>209</v>
      </c>
      <c r="T252" s="4" t="str">
        <f aca="false">IF(O252&lt;0.05,"YES","no")</f>
        <v>no</v>
      </c>
      <c r="U252" s="4" t="str">
        <f aca="false">IF(P252&lt;0.05,"YES","no")</f>
        <v>no</v>
      </c>
      <c r="V252" s="4" t="str">
        <f aca="false">IF(N252&gt;1,"YES","no")</f>
        <v>no</v>
      </c>
    </row>
    <row r="253" customFormat="false" ht="15" hidden="false" customHeight="false" outlineLevel="0" collapsed="false">
      <c r="A253" s="4" t="s">
        <v>351</v>
      </c>
      <c r="B253" s="4" t="s">
        <v>352</v>
      </c>
      <c r="C253" s="4" t="s">
        <v>61</v>
      </c>
      <c r="D253" s="8" t="n">
        <v>194.08105</v>
      </c>
      <c r="E253" s="9" t="n">
        <v>5.027</v>
      </c>
      <c r="F253" s="10" t="n">
        <v>394767.373243984</v>
      </c>
      <c r="G253" s="10" t="n">
        <v>202338.194051992</v>
      </c>
      <c r="H253" s="10" t="n">
        <v>601112.372720134</v>
      </c>
      <c r="I253" s="10" t="n">
        <v>502998.346228541</v>
      </c>
      <c r="J253" s="10" t="n">
        <v>497939.872982059</v>
      </c>
      <c r="K253" s="11" t="n">
        <v>1.52270023680153</v>
      </c>
      <c r="L253" s="11" t="n">
        <v>0.606631956634517</v>
      </c>
      <c r="M253" s="11" t="n">
        <v>0.28277272447562</v>
      </c>
      <c r="N253" s="11" t="n">
        <v>0.0813987271492541</v>
      </c>
      <c r="O253" s="12" t="n">
        <v>0.384151981091797</v>
      </c>
      <c r="P253" s="12" t="n">
        <v>0.537812773528515</v>
      </c>
      <c r="Q253" s="4" t="n">
        <f aca="false">RANK(N253,$N$7:$N$307,0)</f>
        <v>247</v>
      </c>
      <c r="R253" s="4" t="n">
        <f aca="false">RANK(O253,$O$7:$O$307,1)</f>
        <v>215</v>
      </c>
      <c r="S253" s="4" t="n">
        <f aca="false">RANK(J253,$J$7:$J$307,0)</f>
        <v>202</v>
      </c>
      <c r="T253" s="4" t="str">
        <f aca="false">IF(O253&lt;0.05,"YES","no")</f>
        <v>no</v>
      </c>
      <c r="U253" s="4" t="str">
        <f aca="false">IF(P253&lt;0.05,"YES","no")</f>
        <v>no</v>
      </c>
      <c r="V253" s="4" t="str">
        <f aca="false">IF(N253&gt;1,"YES","no")</f>
        <v>no</v>
      </c>
    </row>
    <row r="254" customFormat="false" ht="15" hidden="false" customHeight="false" outlineLevel="0" collapsed="false">
      <c r="A254" s="4" t="s">
        <v>353</v>
      </c>
      <c r="B254" s="4" t="s">
        <v>354</v>
      </c>
      <c r="C254" s="4" t="s">
        <v>72</v>
      </c>
      <c r="D254" s="8" t="n">
        <v>229.01158</v>
      </c>
      <c r="E254" s="9" t="n">
        <v>10.048</v>
      </c>
      <c r="F254" s="10" t="n">
        <v>244138.594055971</v>
      </c>
      <c r="G254" s="10" t="n">
        <v>240090.186206794</v>
      </c>
      <c r="H254" s="10" t="n">
        <v>399553.007104691</v>
      </c>
      <c r="I254" s="10" t="n">
        <v>188936.194553673</v>
      </c>
      <c r="J254" s="10" t="n">
        <v>321845.800580331</v>
      </c>
      <c r="K254" s="11" t="n">
        <v>1.63658273141808</v>
      </c>
      <c r="L254" s="11" t="n">
        <v>0.710686534365403</v>
      </c>
      <c r="M254" s="11" t="n">
        <v>0.36659990541076</v>
      </c>
      <c r="N254" s="11" t="n">
        <v>0.0804361083884486</v>
      </c>
      <c r="O254" s="12" t="n">
        <v>0.242673604192598</v>
      </c>
      <c r="P254" s="12" t="n">
        <v>0.405804193677622</v>
      </c>
      <c r="Q254" s="4" t="n">
        <f aca="false">RANK(N254,$N$7:$N$307,0)</f>
        <v>248</v>
      </c>
      <c r="R254" s="4" t="n">
        <f aca="false">RANK(O254,$O$7:$O$307,1)</f>
        <v>180</v>
      </c>
      <c r="S254" s="4" t="n">
        <f aca="false">RANK(J254,$J$7:$J$307,0)</f>
        <v>228</v>
      </c>
      <c r="T254" s="4" t="str">
        <f aca="false">IF(O254&lt;0.05,"YES","no")</f>
        <v>no</v>
      </c>
      <c r="U254" s="4" t="str">
        <f aca="false">IF(P254&lt;0.05,"YES","no")</f>
        <v>no</v>
      </c>
      <c r="V254" s="4" t="str">
        <f aca="false">IF(N254&gt;1,"YES","no")</f>
        <v>no</v>
      </c>
    </row>
    <row r="255" customFormat="false" ht="15" hidden="false" customHeight="false" outlineLevel="0" collapsed="false">
      <c r="A255" s="4" t="s">
        <v>355</v>
      </c>
      <c r="B255" s="4"/>
      <c r="C255" s="4" t="s">
        <v>61</v>
      </c>
      <c r="D255" s="8" t="n">
        <v>377.1459</v>
      </c>
      <c r="E255" s="9" t="n">
        <v>7.534</v>
      </c>
      <c r="F255" s="10" t="n">
        <v>151877.263630191</v>
      </c>
      <c r="G255" s="10" t="n">
        <v>99152.0105126372</v>
      </c>
      <c r="H255" s="10" t="n">
        <v>259045.992750303</v>
      </c>
      <c r="I255" s="10" t="n">
        <v>124123.423616104</v>
      </c>
      <c r="J255" s="10" t="n">
        <v>205461.628190247</v>
      </c>
      <c r="K255" s="11" t="n">
        <v>1.70562720553788</v>
      </c>
      <c r="L255" s="11" t="n">
        <v>0.770302355042253</v>
      </c>
      <c r="M255" s="11" t="n">
        <v>0.463122912932248</v>
      </c>
      <c r="N255" s="11" t="n">
        <v>0.0797084420521286</v>
      </c>
      <c r="O255" s="12" t="n">
        <v>0.130946316838709</v>
      </c>
      <c r="P255" s="12" t="n">
        <v>0.275628261317842</v>
      </c>
      <c r="Q255" s="4" t="n">
        <f aca="false">RANK(N255,$N$7:$N$307,0)</f>
        <v>249</v>
      </c>
      <c r="R255" s="4" t="n">
        <f aca="false">RANK(O255,$O$7:$O$307,1)</f>
        <v>143</v>
      </c>
      <c r="S255" s="4" t="n">
        <f aca="false">RANK(J255,$J$7:$J$307,0)</f>
        <v>251</v>
      </c>
      <c r="T255" s="4" t="str">
        <f aca="false">IF(O255&lt;0.05,"YES","no")</f>
        <v>no</v>
      </c>
      <c r="U255" s="4" t="str">
        <f aca="false">IF(P255&lt;0.05,"YES","no")</f>
        <v>no</v>
      </c>
      <c r="V255" s="4" t="str">
        <f aca="false">IF(N255&gt;1,"YES","no")</f>
        <v>no</v>
      </c>
    </row>
    <row r="256" customFormat="false" ht="15" hidden="false" customHeight="false" outlineLevel="0" collapsed="false">
      <c r="A256" s="4" t="s">
        <v>356</v>
      </c>
      <c r="B256" s="4"/>
      <c r="C256" s="4" t="s">
        <v>72</v>
      </c>
      <c r="D256" s="8" t="n">
        <v>130.05101</v>
      </c>
      <c r="E256" s="9" t="n">
        <v>6.887</v>
      </c>
      <c r="F256" s="10" t="n">
        <v>286424.571891101</v>
      </c>
      <c r="G256" s="10" t="n">
        <v>118836.354696296</v>
      </c>
      <c r="H256" s="10" t="n">
        <v>374277.912868384</v>
      </c>
      <c r="I256" s="10" t="n">
        <v>94671.8536315982</v>
      </c>
      <c r="J256" s="10" t="n">
        <v>330351.242379743</v>
      </c>
      <c r="K256" s="11" t="n">
        <v>1.30672417662087</v>
      </c>
      <c r="L256" s="11" t="n">
        <v>0.385954649154992</v>
      </c>
      <c r="M256" s="11" t="n">
        <v>0.408761960736971</v>
      </c>
      <c r="N256" s="11" t="n">
        <v>0.0792145083887147</v>
      </c>
      <c r="O256" s="12" t="n">
        <v>0.188537511722405</v>
      </c>
      <c r="P256" s="12" t="n">
        <v>0.352483174089714</v>
      </c>
      <c r="Q256" s="4" t="n">
        <f aca="false">RANK(N256,$N$7:$N$307,0)</f>
        <v>250</v>
      </c>
      <c r="R256" s="4" t="n">
        <f aca="false">RANK(O256,$O$7:$O$307,1)</f>
        <v>161</v>
      </c>
      <c r="S256" s="4" t="n">
        <f aca="false">RANK(J256,$J$7:$J$307,0)</f>
        <v>227</v>
      </c>
      <c r="T256" s="4" t="str">
        <f aca="false">IF(O256&lt;0.05,"YES","no")</f>
        <v>no</v>
      </c>
      <c r="U256" s="4" t="str">
        <f aca="false">IF(P256&lt;0.05,"YES","no")</f>
        <v>no</v>
      </c>
      <c r="V256" s="4" t="str">
        <f aca="false">IF(N256&gt;1,"YES","no")</f>
        <v>no</v>
      </c>
    </row>
    <row r="257" customFormat="false" ht="15" hidden="false" customHeight="false" outlineLevel="0" collapsed="false">
      <c r="A257" s="4" t="s">
        <v>357</v>
      </c>
      <c r="B257" s="4" t="s">
        <v>358</v>
      </c>
      <c r="C257" s="4" t="s">
        <v>72</v>
      </c>
      <c r="D257" s="8" t="n">
        <v>588.07507</v>
      </c>
      <c r="E257" s="9" t="n">
        <v>10.17</v>
      </c>
      <c r="F257" s="10" t="n">
        <v>196170.160235784</v>
      </c>
      <c r="G257" s="10" t="n">
        <v>78081.9573453752</v>
      </c>
      <c r="H257" s="10" t="n">
        <v>290643.269235312</v>
      </c>
      <c r="I257" s="10" t="n">
        <v>73665.2486548412</v>
      </c>
      <c r="J257" s="10" t="n">
        <v>243406.714735548</v>
      </c>
      <c r="K257" s="11" t="n">
        <v>1.48158756095207</v>
      </c>
      <c r="L257" s="11" t="n">
        <v>0.567143891245821</v>
      </c>
      <c r="M257" s="11" t="n">
        <v>0.563271008648265</v>
      </c>
      <c r="N257" s="11" t="n">
        <v>0.0791899608231095</v>
      </c>
      <c r="O257" s="12" t="n">
        <v>0.0566054180097903</v>
      </c>
      <c r="P257" s="12" t="n">
        <v>0.16869535466284</v>
      </c>
      <c r="Q257" s="4" t="n">
        <f aca="false">RANK(N257,$N$7:$N$307,0)</f>
        <v>251</v>
      </c>
      <c r="R257" s="4" t="n">
        <f aca="false">RANK(O257,$O$7:$O$307,1)</f>
        <v>101</v>
      </c>
      <c r="S257" s="4" t="n">
        <f aca="false">RANK(J257,$J$7:$J$307,0)</f>
        <v>244</v>
      </c>
      <c r="T257" s="4" t="str">
        <f aca="false">IF(O257&lt;0.05,"YES","no")</f>
        <v>no</v>
      </c>
      <c r="U257" s="4" t="str">
        <f aca="false">IF(P257&lt;0.05,"YES","no")</f>
        <v>no</v>
      </c>
      <c r="V257" s="4" t="str">
        <f aca="false">IF(N257&gt;1,"YES","no")</f>
        <v>no</v>
      </c>
    </row>
    <row r="258" customFormat="false" ht="15" hidden="false" customHeight="false" outlineLevel="0" collapsed="false">
      <c r="A258" s="4" t="s">
        <v>359</v>
      </c>
      <c r="B258" s="4"/>
      <c r="C258" s="4" t="s">
        <v>72</v>
      </c>
      <c r="D258" s="8" t="n">
        <v>588.07542</v>
      </c>
      <c r="E258" s="9" t="n">
        <v>9.154</v>
      </c>
      <c r="F258" s="10" t="n">
        <v>17023.1882211218</v>
      </c>
      <c r="G258" s="10" t="n">
        <v>9390.13695456316</v>
      </c>
      <c r="H258" s="10" t="n">
        <v>91804.3660099108</v>
      </c>
      <c r="I258" s="10" t="n">
        <v>83470.2612416086</v>
      </c>
      <c r="J258" s="10" t="n">
        <v>54413.7771155163</v>
      </c>
      <c r="K258" s="11" t="n">
        <v>5.39290083722408</v>
      </c>
      <c r="L258" s="11" t="n">
        <v>2.43106150632013</v>
      </c>
      <c r="M258" s="11" t="n">
        <v>0.5677092903386</v>
      </c>
      <c r="N258" s="11" t="n">
        <v>0.0784680782937372</v>
      </c>
      <c r="O258" s="12" t="n">
        <v>0.0796932696416193</v>
      </c>
      <c r="P258" s="12" t="n">
        <v>0.203285374255317</v>
      </c>
      <c r="Q258" s="4" t="n">
        <f aca="false">RANK(N258,$N$7:$N$307,0)</f>
        <v>252</v>
      </c>
      <c r="R258" s="4" t="n">
        <f aca="false">RANK(O258,$O$7:$O$307,1)</f>
        <v>118</v>
      </c>
      <c r="S258" s="4" t="n">
        <f aca="false">RANK(J258,$J$7:$J$307,0)</f>
        <v>288</v>
      </c>
      <c r="T258" s="4" t="str">
        <f aca="false">IF(O258&lt;0.05,"YES","no")</f>
        <v>no</v>
      </c>
      <c r="U258" s="4" t="str">
        <f aca="false">IF(P258&lt;0.05,"YES","no")</f>
        <v>no</v>
      </c>
      <c r="V258" s="4" t="str">
        <f aca="false">IF(N258&gt;1,"YES","no")</f>
        <v>no</v>
      </c>
    </row>
    <row r="259" customFormat="false" ht="15" hidden="false" customHeight="false" outlineLevel="0" collapsed="false">
      <c r="A259" s="4" t="s">
        <v>360</v>
      </c>
      <c r="B259" s="4"/>
      <c r="C259" s="4" t="s">
        <v>72</v>
      </c>
      <c r="D259" s="8" t="n">
        <v>203.13891</v>
      </c>
      <c r="E259" s="9" t="n">
        <v>5.031</v>
      </c>
      <c r="F259" s="10" t="n">
        <v>199350.094342926</v>
      </c>
      <c r="G259" s="10" t="n">
        <v>98098.3859430645</v>
      </c>
      <c r="H259" s="10" t="n">
        <v>214725.826764131</v>
      </c>
      <c r="I259" s="10" t="n">
        <v>80079.3505461237</v>
      </c>
      <c r="J259" s="10" t="n">
        <v>207037.960553529</v>
      </c>
      <c r="K259" s="11" t="n">
        <v>1.07712929593479</v>
      </c>
      <c r="L259" s="11" t="n">
        <v>0.107191437818898</v>
      </c>
      <c r="M259" s="11" t="n">
        <v>0.0936377827469165</v>
      </c>
      <c r="N259" s="11" t="n">
        <v>0.0772129728867395</v>
      </c>
      <c r="O259" s="12" t="n">
        <v>0.77247589180242</v>
      </c>
      <c r="P259" s="12" t="n">
        <v>0.848595778950834</v>
      </c>
      <c r="Q259" s="4" t="n">
        <f aca="false">RANK(N259,$N$7:$N$307,0)</f>
        <v>253</v>
      </c>
      <c r="R259" s="4" t="n">
        <f aca="false">RANK(O259,$O$7:$O$307,1)</f>
        <v>274</v>
      </c>
      <c r="S259" s="4" t="n">
        <f aca="false">RANK(J259,$J$7:$J$307,0)</f>
        <v>250</v>
      </c>
      <c r="T259" s="4" t="str">
        <f aca="false">IF(O259&lt;0.05,"YES","no")</f>
        <v>no</v>
      </c>
      <c r="U259" s="4" t="str">
        <f aca="false">IF(P259&lt;0.05,"YES","no")</f>
        <v>no</v>
      </c>
      <c r="V259" s="4" t="str">
        <f aca="false">IF(N259&gt;1,"YES","no")</f>
        <v>no</v>
      </c>
    </row>
    <row r="260" customFormat="false" ht="15" hidden="false" customHeight="false" outlineLevel="0" collapsed="false">
      <c r="A260" s="4" t="s">
        <v>361</v>
      </c>
      <c r="B260" s="4"/>
      <c r="C260" s="4" t="s">
        <v>72</v>
      </c>
      <c r="D260" s="8" t="n">
        <v>558.06488</v>
      </c>
      <c r="E260" s="9" t="n">
        <v>8.226</v>
      </c>
      <c r="F260" s="10" t="n">
        <v>76730.1787706148</v>
      </c>
      <c r="G260" s="10" t="n">
        <v>107178.406756366</v>
      </c>
      <c r="H260" s="10" t="n">
        <v>148567.093818007</v>
      </c>
      <c r="I260" s="10" t="n">
        <v>104971.644016133</v>
      </c>
      <c r="J260" s="10" t="n">
        <v>112648.636294311</v>
      </c>
      <c r="K260" s="11" t="n">
        <v>1.93622765121073</v>
      </c>
      <c r="L260" s="11" t="n">
        <v>0.953248586891653</v>
      </c>
      <c r="M260" s="11" t="n">
        <v>0.347761430156825</v>
      </c>
      <c r="N260" s="11" t="n">
        <v>0.0769558236343718</v>
      </c>
      <c r="O260" s="12" t="n">
        <v>0.268017743402529</v>
      </c>
      <c r="P260" s="12" t="n">
        <v>0.429113514702985</v>
      </c>
      <c r="Q260" s="4" t="n">
        <f aca="false">RANK(N260,$N$7:$N$307,0)</f>
        <v>254</v>
      </c>
      <c r="R260" s="4" t="n">
        <f aca="false">RANK(O260,$O$7:$O$307,1)</f>
        <v>188</v>
      </c>
      <c r="S260" s="4" t="n">
        <f aca="false">RANK(J260,$J$7:$J$307,0)</f>
        <v>273</v>
      </c>
      <c r="T260" s="4" t="str">
        <f aca="false">IF(O260&lt;0.05,"YES","no")</f>
        <v>no</v>
      </c>
      <c r="U260" s="4" t="str">
        <f aca="false">IF(P260&lt;0.05,"YES","no")</f>
        <v>no</v>
      </c>
      <c r="V260" s="4" t="str">
        <f aca="false">IF(N260&gt;1,"YES","no")</f>
        <v>no</v>
      </c>
    </row>
    <row r="261" customFormat="false" ht="15" hidden="false" customHeight="false" outlineLevel="0" collapsed="false">
      <c r="A261" s="4" t="s">
        <v>362</v>
      </c>
      <c r="B261" s="4"/>
      <c r="C261" s="4" t="s">
        <v>61</v>
      </c>
      <c r="D261" s="8" t="n">
        <v>151.06126</v>
      </c>
      <c r="E261" s="9" t="n">
        <v>10.081</v>
      </c>
      <c r="F261" s="10" t="n">
        <v>177813.945864964</v>
      </c>
      <c r="G261" s="10" t="n">
        <v>56394.9224915887</v>
      </c>
      <c r="H261" s="10" t="n">
        <v>246064.244767851</v>
      </c>
      <c r="I261" s="10" t="n">
        <v>23594.7907424907</v>
      </c>
      <c r="J261" s="10" t="n">
        <v>211939.095316407</v>
      </c>
      <c r="K261" s="11" t="n">
        <v>1.38382984287811</v>
      </c>
      <c r="L261" s="11" t="n">
        <v>0.468666558633719</v>
      </c>
      <c r="M261" s="11" t="n">
        <v>0.654121330064909</v>
      </c>
      <c r="N261" s="11" t="n">
        <v>0.0733642831824492</v>
      </c>
      <c r="O261" s="12" t="n">
        <v>0.0304247089046893</v>
      </c>
      <c r="P261" s="12" t="n">
        <v>0.117408171542455</v>
      </c>
      <c r="Q261" s="4" t="n">
        <f aca="false">RANK(N261,$N$7:$N$307,0)</f>
        <v>255</v>
      </c>
      <c r="R261" s="4" t="n">
        <f aca="false">RANK(O261,$O$7:$O$307,1)</f>
        <v>78</v>
      </c>
      <c r="S261" s="4" t="n">
        <f aca="false">RANK(J261,$J$7:$J$307,0)</f>
        <v>249</v>
      </c>
      <c r="T261" s="4" t="str">
        <f aca="false">IF(O261&lt;0.05,"YES","no")</f>
        <v>YES</v>
      </c>
      <c r="U261" s="4" t="str">
        <f aca="false">IF(P261&lt;0.05,"YES","no")</f>
        <v>no</v>
      </c>
      <c r="V261" s="4" t="str">
        <f aca="false">IF(N261&gt;1,"YES","no")</f>
        <v>no</v>
      </c>
    </row>
    <row r="262" customFormat="false" ht="15" hidden="false" customHeight="false" outlineLevel="0" collapsed="false">
      <c r="A262" s="4" t="s">
        <v>363</v>
      </c>
      <c r="B262" s="4"/>
      <c r="C262" s="4" t="s">
        <v>72</v>
      </c>
      <c r="D262" s="8" t="n">
        <v>181.07174</v>
      </c>
      <c r="E262" s="9" t="n">
        <v>10.505</v>
      </c>
      <c r="F262" s="10" t="n">
        <v>512562.098358749</v>
      </c>
      <c r="G262" s="10" t="n">
        <v>218387.618772784</v>
      </c>
      <c r="H262" s="10" t="n">
        <v>633563.714624577</v>
      </c>
      <c r="I262" s="10" t="n">
        <v>99198.4546686089</v>
      </c>
      <c r="J262" s="10" t="n">
        <v>573062.906491663</v>
      </c>
      <c r="K262" s="11" t="n">
        <v>1.23607211039069</v>
      </c>
      <c r="L262" s="11" t="n">
        <v>0.305762910126119</v>
      </c>
      <c r="M262" s="11" t="n">
        <v>0.363956967811283</v>
      </c>
      <c r="N262" s="11" t="n">
        <v>0.0721755551195657</v>
      </c>
      <c r="O262" s="12" t="n">
        <v>0.256548815093199</v>
      </c>
      <c r="P262" s="12" t="n">
        <v>0.419680398603548</v>
      </c>
      <c r="Q262" s="4" t="n">
        <f aca="false">RANK(N262,$N$7:$N$307,0)</f>
        <v>256</v>
      </c>
      <c r="R262" s="4" t="n">
        <f aca="false">RANK(O262,$O$7:$O$307,1)</f>
        <v>184</v>
      </c>
      <c r="S262" s="4" t="n">
        <f aca="false">RANK(J262,$J$7:$J$307,0)</f>
        <v>197</v>
      </c>
      <c r="T262" s="4" t="str">
        <f aca="false">IF(O262&lt;0.05,"YES","no")</f>
        <v>no</v>
      </c>
      <c r="U262" s="4" t="str">
        <f aca="false">IF(P262&lt;0.05,"YES","no")</f>
        <v>no</v>
      </c>
      <c r="V262" s="4" t="str">
        <f aca="false">IF(N262&gt;1,"YES","no")</f>
        <v>no</v>
      </c>
    </row>
    <row r="263" customFormat="false" ht="15" hidden="false" customHeight="false" outlineLevel="0" collapsed="false">
      <c r="A263" s="4" t="s">
        <v>364</v>
      </c>
      <c r="B263" s="4" t="s">
        <v>365</v>
      </c>
      <c r="C263" s="4" t="s">
        <v>72</v>
      </c>
      <c r="D263" s="8" t="n">
        <v>196.09677</v>
      </c>
      <c r="E263" s="9" t="n">
        <v>5.013</v>
      </c>
      <c r="F263" s="10" t="n">
        <v>271519.043280425</v>
      </c>
      <c r="G263" s="10" t="n">
        <v>85879.9872374397</v>
      </c>
      <c r="H263" s="10" t="n">
        <v>328568.649011825</v>
      </c>
      <c r="I263" s="10" t="n">
        <v>71373.9713369382</v>
      </c>
      <c r="J263" s="10" t="n">
        <v>300043.846146125</v>
      </c>
      <c r="K263" s="11" t="n">
        <v>1.21011272374174</v>
      </c>
      <c r="L263" s="11" t="n">
        <v>0.275141442878824</v>
      </c>
      <c r="M263" s="11" t="n">
        <v>0.367967401792844</v>
      </c>
      <c r="N263" s="11" t="n">
        <v>0.0719200513776667</v>
      </c>
      <c r="O263" s="12" t="n">
        <v>0.240190640644086</v>
      </c>
      <c r="P263" s="12" t="n">
        <v>0.403895993485307</v>
      </c>
      <c r="Q263" s="4" t="n">
        <f aca="false">RANK(N263,$N$7:$N$307,0)</f>
        <v>257</v>
      </c>
      <c r="R263" s="4" t="n">
        <f aca="false">RANK(O263,$O$7:$O$307,1)</f>
        <v>179</v>
      </c>
      <c r="S263" s="4" t="n">
        <f aca="false">RANK(J263,$J$7:$J$307,0)</f>
        <v>234</v>
      </c>
      <c r="T263" s="4" t="str">
        <f aca="false">IF(O263&lt;0.05,"YES","no")</f>
        <v>no</v>
      </c>
      <c r="U263" s="4" t="str">
        <f aca="false">IF(P263&lt;0.05,"YES","no")</f>
        <v>no</v>
      </c>
      <c r="V263" s="4" t="str">
        <f aca="false">IF(N263&gt;1,"YES","no")</f>
        <v>no</v>
      </c>
    </row>
    <row r="264" customFormat="false" ht="15" hidden="false" customHeight="false" outlineLevel="0" collapsed="false">
      <c r="A264" s="4" t="s">
        <v>366</v>
      </c>
      <c r="B264" s="4"/>
      <c r="C264" s="4" t="s">
        <v>72</v>
      </c>
      <c r="D264" s="8" t="n">
        <v>400.34208</v>
      </c>
      <c r="E264" s="9" t="n">
        <v>6.806</v>
      </c>
      <c r="F264" s="10" t="n">
        <v>677470.439254595</v>
      </c>
      <c r="G264" s="10" t="n">
        <v>219948.990478408</v>
      </c>
      <c r="H264" s="10" t="n">
        <v>552651.907515494</v>
      </c>
      <c r="I264" s="10" t="n">
        <v>302132.762500176</v>
      </c>
      <c r="J264" s="10" t="n">
        <v>615061.173385044</v>
      </c>
      <c r="K264" s="11" t="n">
        <v>0.815757965946918</v>
      </c>
      <c r="L264" s="11" t="n">
        <v>-0.293786924459893</v>
      </c>
      <c r="M264" s="11" t="n">
        <v>0.250465332505171</v>
      </c>
      <c r="N264" s="11" t="n">
        <v>0.0713987167223342</v>
      </c>
      <c r="O264" s="12" t="n">
        <v>0.434104955199706</v>
      </c>
      <c r="P264" s="12" t="n">
        <v>0.573094699627681</v>
      </c>
      <c r="Q264" s="4" t="n">
        <f aca="false">RANK(N264,$N$7:$N$307,0)</f>
        <v>258</v>
      </c>
      <c r="R264" s="4" t="n">
        <f aca="false">RANK(O264,$O$7:$O$307,1)</f>
        <v>228</v>
      </c>
      <c r="S264" s="4" t="n">
        <f aca="false">RANK(J264,$J$7:$J$307,0)</f>
        <v>193</v>
      </c>
      <c r="T264" s="4" t="str">
        <f aca="false">IF(O264&lt;0.05,"YES","no")</f>
        <v>no</v>
      </c>
      <c r="U264" s="4" t="str">
        <f aca="false">IF(P264&lt;0.05,"YES","no")</f>
        <v>no</v>
      </c>
      <c r="V264" s="4" t="str">
        <f aca="false">IF(N264&gt;1,"YES","no")</f>
        <v>no</v>
      </c>
    </row>
    <row r="265" customFormat="false" ht="15" hidden="false" customHeight="false" outlineLevel="0" collapsed="false">
      <c r="A265" s="4" t="s">
        <v>367</v>
      </c>
      <c r="B265" s="4"/>
      <c r="C265" s="4" t="s">
        <v>72</v>
      </c>
      <c r="D265" s="8" t="n">
        <v>227.11376</v>
      </c>
      <c r="E265" s="9" t="n">
        <v>9.443</v>
      </c>
      <c r="F265" s="10" t="n">
        <v>137899.615759158</v>
      </c>
      <c r="G265" s="10" t="n">
        <v>73354.9915100624</v>
      </c>
      <c r="H265" s="10" t="n">
        <v>160995.614058468</v>
      </c>
      <c r="I265" s="10" t="n">
        <v>63642.1808285213</v>
      </c>
      <c r="J265" s="10" t="n">
        <v>149447.614908813</v>
      </c>
      <c r="K265" s="11" t="n">
        <v>1.16748413816937</v>
      </c>
      <c r="L265" s="11" t="n">
        <v>0.223402949129928</v>
      </c>
      <c r="M265" s="11" t="n">
        <v>0.181167495388839</v>
      </c>
      <c r="N265" s="11" t="n">
        <v>0.0704879035878145</v>
      </c>
      <c r="O265" s="12" t="n">
        <v>0.573353481866568</v>
      </c>
      <c r="P265" s="12" t="n">
        <v>0.693089951975249</v>
      </c>
      <c r="Q265" s="4" t="n">
        <f aca="false">RANK(N265,$N$7:$N$307,0)</f>
        <v>259</v>
      </c>
      <c r="R265" s="4" t="n">
        <f aca="false">RANK(O265,$O$7:$O$307,1)</f>
        <v>249</v>
      </c>
      <c r="S265" s="4" t="n">
        <f aca="false">RANK(J265,$J$7:$J$307,0)</f>
        <v>261</v>
      </c>
      <c r="T265" s="4" t="str">
        <f aca="false">IF(O265&lt;0.05,"YES","no")</f>
        <v>no</v>
      </c>
      <c r="U265" s="4" t="str">
        <f aca="false">IF(P265&lt;0.05,"YES","no")</f>
        <v>no</v>
      </c>
      <c r="V265" s="4" t="str">
        <f aca="false">IF(N265&gt;1,"YES","no")</f>
        <v>no</v>
      </c>
    </row>
    <row r="266" customFormat="false" ht="15" hidden="false" customHeight="false" outlineLevel="0" collapsed="false">
      <c r="A266" s="4" t="s">
        <v>368</v>
      </c>
      <c r="B266" s="4"/>
      <c r="C266" s="4" t="s">
        <v>61</v>
      </c>
      <c r="D266" s="8" t="n">
        <v>523.99823</v>
      </c>
      <c r="E266" s="9" t="n">
        <v>11.169</v>
      </c>
      <c r="F266" s="10" t="n">
        <v>119401.127980295</v>
      </c>
      <c r="G266" s="10" t="n">
        <v>34433.5480719683</v>
      </c>
      <c r="H266" s="10" t="n">
        <v>183118.110762872</v>
      </c>
      <c r="I266" s="10" t="n">
        <v>43842.5683224732</v>
      </c>
      <c r="J266" s="10" t="n">
        <v>151259.619371583</v>
      </c>
      <c r="K266" s="11" t="n">
        <v>1.53363803056444</v>
      </c>
      <c r="L266" s="11" t="n">
        <v>0.616958017957538</v>
      </c>
      <c r="M266" s="11" t="n">
        <v>0.662870842379377</v>
      </c>
      <c r="N266" s="11" t="n">
        <v>0.0696424442302725</v>
      </c>
      <c r="O266" s="12" t="n">
        <v>0.0197679936599183</v>
      </c>
      <c r="P266" s="12" t="n">
        <v>0.0983079278637452</v>
      </c>
      <c r="Q266" s="4" t="n">
        <f aca="false">RANK(N266,$N$7:$N$307,0)</f>
        <v>260</v>
      </c>
      <c r="R266" s="4" t="n">
        <f aca="false">RANK(O266,$O$7:$O$307,1)</f>
        <v>58</v>
      </c>
      <c r="S266" s="4" t="n">
        <f aca="false">RANK(J266,$J$7:$J$307,0)</f>
        <v>260</v>
      </c>
      <c r="T266" s="4" t="str">
        <f aca="false">IF(O266&lt;0.05,"YES","no")</f>
        <v>YES</v>
      </c>
      <c r="U266" s="4" t="str">
        <f aca="false">IF(P266&lt;0.05,"YES","no")</f>
        <v>no</v>
      </c>
      <c r="V266" s="4" t="str">
        <f aca="false">IF(N266&gt;1,"YES","no")</f>
        <v>no</v>
      </c>
    </row>
    <row r="267" customFormat="false" ht="15" hidden="false" customHeight="false" outlineLevel="0" collapsed="false">
      <c r="A267" s="4" t="s">
        <v>369</v>
      </c>
      <c r="B267" s="4"/>
      <c r="C267" s="4" t="s">
        <v>72</v>
      </c>
      <c r="D267" s="8" t="n">
        <v>232.14043</v>
      </c>
      <c r="E267" s="9" t="n">
        <v>12.361</v>
      </c>
      <c r="F267" s="10" t="n">
        <v>203933.426010462</v>
      </c>
      <c r="G267" s="10" t="n">
        <v>99962.2157822173</v>
      </c>
      <c r="H267" s="10" t="n">
        <v>262810.614671103</v>
      </c>
      <c r="I267" s="10" t="n">
        <v>98565.3100758892</v>
      </c>
      <c r="J267" s="10" t="n">
        <v>233372.020340782</v>
      </c>
      <c r="K267" s="11" t="n">
        <v>1.28870788772813</v>
      </c>
      <c r="L267" s="11" t="n">
        <v>0.365925284114469</v>
      </c>
      <c r="M267" s="11" t="n">
        <v>0.308972053732052</v>
      </c>
      <c r="N267" s="11" t="n">
        <v>0.0690987015861117</v>
      </c>
      <c r="O267" s="12" t="n">
        <v>0.328481959892424</v>
      </c>
      <c r="P267" s="12" t="n">
        <v>0.501893755977764</v>
      </c>
      <c r="Q267" s="4" t="n">
        <f aca="false">RANK(N267,$N$7:$N$307,0)</f>
        <v>261</v>
      </c>
      <c r="R267" s="4" t="n">
        <f aca="false">RANK(O267,$O$7:$O$307,1)</f>
        <v>197</v>
      </c>
      <c r="S267" s="4" t="n">
        <f aca="false">RANK(J267,$J$7:$J$307,0)</f>
        <v>245</v>
      </c>
      <c r="T267" s="4" t="str">
        <f aca="false">IF(O267&lt;0.05,"YES","no")</f>
        <v>no</v>
      </c>
      <c r="U267" s="4" t="str">
        <f aca="false">IF(P267&lt;0.05,"YES","no")</f>
        <v>no</v>
      </c>
      <c r="V267" s="4" t="str">
        <f aca="false">IF(N267&gt;1,"YES","no")</f>
        <v>no</v>
      </c>
    </row>
    <row r="268" customFormat="false" ht="15" hidden="false" customHeight="false" outlineLevel="0" collapsed="false">
      <c r="A268" s="4" t="s">
        <v>370</v>
      </c>
      <c r="B268" s="4"/>
      <c r="C268" s="4" t="s">
        <v>72</v>
      </c>
      <c r="D268" s="8" t="n">
        <v>294.14495</v>
      </c>
      <c r="E268" s="9" t="n">
        <v>6.854</v>
      </c>
      <c r="F268" s="10" t="n">
        <v>53351.082497883</v>
      </c>
      <c r="G268" s="10" t="n">
        <v>35067.981365239</v>
      </c>
      <c r="H268" s="10" t="n">
        <v>113180.361514149</v>
      </c>
      <c r="I268" s="10" t="n">
        <v>32154.6466397575</v>
      </c>
      <c r="J268" s="10" t="n">
        <v>83265.7220060158</v>
      </c>
      <c r="K268" s="11" t="n">
        <v>2.12142577460616</v>
      </c>
      <c r="L268" s="11" t="n">
        <v>1.08503420185234</v>
      </c>
      <c r="M268" s="11" t="n">
        <v>0.697751330509892</v>
      </c>
      <c r="N268" s="11" t="n">
        <v>0.0687597149325244</v>
      </c>
      <c r="O268" s="12" t="n">
        <v>0.0117349384269083</v>
      </c>
      <c r="P268" s="12" t="n">
        <v>0.0807692088686714</v>
      </c>
      <c r="Q268" s="4" t="n">
        <f aca="false">RANK(N268,$N$7:$N$307,0)</f>
        <v>262</v>
      </c>
      <c r="R268" s="4" t="n">
        <f aca="false">RANK(O268,$O$7:$O$307,1)</f>
        <v>42</v>
      </c>
      <c r="S268" s="4" t="n">
        <f aca="false">RANK(J268,$J$7:$J$307,0)</f>
        <v>281</v>
      </c>
      <c r="T268" s="4" t="str">
        <f aca="false">IF(O268&lt;0.05,"YES","no")</f>
        <v>YES</v>
      </c>
      <c r="U268" s="4" t="str">
        <f aca="false">IF(P268&lt;0.05,"YES","no")</f>
        <v>no</v>
      </c>
      <c r="V268" s="4" t="str">
        <f aca="false">IF(N268&gt;1,"YES","no")</f>
        <v>no</v>
      </c>
    </row>
    <row r="269" customFormat="false" ht="15" hidden="false" customHeight="false" outlineLevel="0" collapsed="false">
      <c r="A269" s="4" t="s">
        <v>371</v>
      </c>
      <c r="B269" s="4"/>
      <c r="C269" s="4" t="s">
        <v>72</v>
      </c>
      <c r="D269" s="8" t="n">
        <v>162.02303</v>
      </c>
      <c r="E269" s="9" t="n">
        <v>6.824</v>
      </c>
      <c r="F269" s="10" t="n">
        <v>76988.3331182755</v>
      </c>
      <c r="G269" s="10" t="n">
        <v>61194.7462446202</v>
      </c>
      <c r="H269" s="10" t="n">
        <v>157196.260122146</v>
      </c>
      <c r="I269" s="10" t="n">
        <v>88739.1270125427</v>
      </c>
      <c r="J269" s="10" t="n">
        <v>117092.296620211</v>
      </c>
      <c r="K269" s="11" t="n">
        <v>2.04181924397102</v>
      </c>
      <c r="L269" s="11" t="n">
        <v>1.02985515447765</v>
      </c>
      <c r="M269" s="11" t="n">
        <v>0.499362152568429</v>
      </c>
      <c r="N269" s="11" t="n">
        <v>0.0685990127111293</v>
      </c>
      <c r="O269" s="12" t="n">
        <v>0.10213161039515</v>
      </c>
      <c r="P269" s="12" t="n">
        <v>0.23289102067379</v>
      </c>
      <c r="Q269" s="4" t="n">
        <f aca="false">RANK(N269,$N$7:$N$307,0)</f>
        <v>263</v>
      </c>
      <c r="R269" s="4" t="n">
        <f aca="false">RANK(O269,$O$7:$O$307,1)</f>
        <v>132</v>
      </c>
      <c r="S269" s="4" t="n">
        <f aca="false">RANK(J269,$J$7:$J$307,0)</f>
        <v>271</v>
      </c>
      <c r="T269" s="4" t="str">
        <f aca="false">IF(O269&lt;0.05,"YES","no")</f>
        <v>no</v>
      </c>
      <c r="U269" s="4" t="str">
        <f aca="false">IF(P269&lt;0.05,"YES","no")</f>
        <v>no</v>
      </c>
      <c r="V269" s="4" t="str">
        <f aca="false">IF(N269&gt;1,"YES","no")</f>
        <v>no</v>
      </c>
    </row>
    <row r="270" customFormat="false" ht="15" hidden="false" customHeight="false" outlineLevel="0" collapsed="false">
      <c r="A270" s="4" t="s">
        <v>372</v>
      </c>
      <c r="B270" s="4"/>
      <c r="C270" s="4" t="s">
        <v>72</v>
      </c>
      <c r="D270" s="8" t="n">
        <v>243.06219</v>
      </c>
      <c r="E270" s="9" t="n">
        <v>9.435</v>
      </c>
      <c r="F270" s="10" t="n">
        <v>235502.841348053</v>
      </c>
      <c r="G270" s="10" t="n">
        <v>62443.9752568556</v>
      </c>
      <c r="H270" s="10" t="n">
        <v>311065.14435216</v>
      </c>
      <c r="I270" s="10" t="n">
        <v>78312.4241686516</v>
      </c>
      <c r="J270" s="10" t="n">
        <v>273283.992850107</v>
      </c>
      <c r="K270" s="11" t="n">
        <v>1.32085516493804</v>
      </c>
      <c r="L270" s="11" t="n">
        <v>0.401472280149225</v>
      </c>
      <c r="M270" s="11" t="n">
        <v>0.504536325721044</v>
      </c>
      <c r="N270" s="11" t="n">
        <v>0.0669285993488161</v>
      </c>
      <c r="O270" s="12" t="n">
        <v>0.0958410132961663</v>
      </c>
      <c r="P270" s="12" t="n">
        <v>0.227150748048394</v>
      </c>
      <c r="Q270" s="4" t="n">
        <f aca="false">RANK(N270,$N$7:$N$307,0)</f>
        <v>264</v>
      </c>
      <c r="R270" s="4" t="n">
        <f aca="false">RANK(O270,$O$7:$O$307,1)</f>
        <v>127</v>
      </c>
      <c r="S270" s="4" t="n">
        <f aca="false">RANK(J270,$J$7:$J$307,0)</f>
        <v>238</v>
      </c>
      <c r="T270" s="4" t="str">
        <f aca="false">IF(O270&lt;0.05,"YES","no")</f>
        <v>no</v>
      </c>
      <c r="U270" s="4" t="str">
        <f aca="false">IF(P270&lt;0.05,"YES","no")</f>
        <v>no</v>
      </c>
      <c r="V270" s="4" t="str">
        <f aca="false">IF(N270&gt;1,"YES","no")</f>
        <v>no</v>
      </c>
    </row>
    <row r="271" customFormat="false" ht="15" hidden="false" customHeight="false" outlineLevel="0" collapsed="false">
      <c r="A271" s="4" t="s">
        <v>373</v>
      </c>
      <c r="B271" s="4"/>
      <c r="C271" s="4" t="s">
        <v>72</v>
      </c>
      <c r="D271" s="8" t="n">
        <v>165.05566</v>
      </c>
      <c r="E271" s="9" t="n">
        <v>4.894</v>
      </c>
      <c r="F271" s="10" t="n">
        <v>107018.863484892</v>
      </c>
      <c r="G271" s="10" t="n">
        <v>95351.3748506281</v>
      </c>
      <c r="H271" s="10" t="n">
        <v>176227.38483446</v>
      </c>
      <c r="I271" s="10" t="n">
        <v>32151.9446092553</v>
      </c>
      <c r="J271" s="10" t="n">
        <v>141623.124159676</v>
      </c>
      <c r="K271" s="11" t="n">
        <v>1.6466946022029</v>
      </c>
      <c r="L271" s="11" t="n">
        <v>0.719573016059075</v>
      </c>
      <c r="M271" s="11" t="n">
        <v>0.470187925970804</v>
      </c>
      <c r="N271" s="11" t="n">
        <v>0.0629450695872924</v>
      </c>
      <c r="O271" s="12" t="n">
        <v>0.142035208998459</v>
      </c>
      <c r="P271" s="12" t="n">
        <v>0.287390290348207</v>
      </c>
      <c r="Q271" s="4" t="n">
        <f aca="false">RANK(N271,$N$7:$N$307,0)</f>
        <v>265</v>
      </c>
      <c r="R271" s="4" t="n">
        <f aca="false">RANK(O271,$O$7:$O$307,1)</f>
        <v>148</v>
      </c>
      <c r="S271" s="4" t="n">
        <f aca="false">RANK(J271,$J$7:$J$307,0)</f>
        <v>264</v>
      </c>
      <c r="T271" s="4" t="str">
        <f aca="false">IF(O271&lt;0.05,"YES","no")</f>
        <v>no</v>
      </c>
      <c r="U271" s="4" t="str">
        <f aca="false">IF(P271&lt;0.05,"YES","no")</f>
        <v>no</v>
      </c>
      <c r="V271" s="4" t="str">
        <f aca="false">IF(N271&gt;1,"YES","no")</f>
        <v>no</v>
      </c>
    </row>
    <row r="272" customFormat="false" ht="15" hidden="false" customHeight="false" outlineLevel="0" collapsed="false">
      <c r="A272" s="4" t="s">
        <v>374</v>
      </c>
      <c r="B272" s="4"/>
      <c r="C272" s="4" t="s">
        <v>72</v>
      </c>
      <c r="D272" s="8" t="n">
        <v>189.1234</v>
      </c>
      <c r="E272" s="9" t="n">
        <v>7.441</v>
      </c>
      <c r="F272" s="10" t="n">
        <v>151696.952233164</v>
      </c>
      <c r="G272" s="10" t="n">
        <v>84477.7688120539</v>
      </c>
      <c r="H272" s="10" t="n">
        <v>223635.424297316</v>
      </c>
      <c r="I272" s="10" t="n">
        <v>121527.454186872</v>
      </c>
      <c r="J272" s="10" t="n">
        <v>187666.18826524</v>
      </c>
      <c r="K272" s="11" t="n">
        <v>1.47422490040261</v>
      </c>
      <c r="L272" s="11" t="n">
        <v>0.55995663158704</v>
      </c>
      <c r="M272" s="11" t="n">
        <v>0.352351100203334</v>
      </c>
      <c r="N272" s="11" t="n">
        <v>0.0613786331293691</v>
      </c>
      <c r="O272" s="12" t="n">
        <v>0.264543276254363</v>
      </c>
      <c r="P272" s="12" t="n">
        <v>0.425815647874671</v>
      </c>
      <c r="Q272" s="4" t="n">
        <f aca="false">RANK(N272,$N$7:$N$307,0)</f>
        <v>266</v>
      </c>
      <c r="R272" s="4" t="n">
        <f aca="false">RANK(O272,$O$7:$O$307,1)</f>
        <v>187</v>
      </c>
      <c r="S272" s="4" t="n">
        <f aca="false">RANK(J272,$J$7:$J$307,0)</f>
        <v>252</v>
      </c>
      <c r="T272" s="4" t="str">
        <f aca="false">IF(O272&lt;0.05,"YES","no")</f>
        <v>no</v>
      </c>
      <c r="U272" s="4" t="str">
        <f aca="false">IF(P272&lt;0.05,"YES","no")</f>
        <v>no</v>
      </c>
      <c r="V272" s="4" t="str">
        <f aca="false">IF(N272&gt;1,"YES","no")</f>
        <v>no</v>
      </c>
    </row>
    <row r="273" customFormat="false" ht="15" hidden="false" customHeight="false" outlineLevel="0" collapsed="false">
      <c r="A273" s="4" t="s">
        <v>375</v>
      </c>
      <c r="B273" s="4"/>
      <c r="C273" s="4" t="s">
        <v>72</v>
      </c>
      <c r="D273" s="8" t="n">
        <v>283.06833</v>
      </c>
      <c r="E273" s="9" t="n">
        <v>8.572</v>
      </c>
      <c r="F273" s="10" t="n">
        <v>71188.2187368038</v>
      </c>
      <c r="G273" s="10" t="n">
        <v>89545.6730216121</v>
      </c>
      <c r="H273" s="10" t="n">
        <v>96230.2313222482</v>
      </c>
      <c r="I273" s="10" t="n">
        <v>28307.314871589</v>
      </c>
      <c r="J273" s="10" t="n">
        <v>83709.225029526</v>
      </c>
      <c r="K273" s="11" t="n">
        <v>1.3517718666066</v>
      </c>
      <c r="L273" s="11" t="n">
        <v>0.434851694011734</v>
      </c>
      <c r="M273" s="11" t="n">
        <v>0.202276549664488</v>
      </c>
      <c r="N273" s="11" t="n">
        <v>0.0600855727237424</v>
      </c>
      <c r="O273" s="12" t="n">
        <v>0.537905159602988</v>
      </c>
      <c r="P273" s="12" t="n">
        <v>0.677445410211295</v>
      </c>
      <c r="Q273" s="4" t="n">
        <f aca="false">RANK(N273,$N$7:$N$307,0)</f>
        <v>267</v>
      </c>
      <c r="R273" s="4" t="n">
        <f aca="false">RANK(O273,$O$7:$O$307,1)</f>
        <v>239</v>
      </c>
      <c r="S273" s="4" t="n">
        <f aca="false">RANK(J273,$J$7:$J$307,0)</f>
        <v>280</v>
      </c>
      <c r="T273" s="4" t="str">
        <f aca="false">IF(O273&lt;0.05,"YES","no")</f>
        <v>no</v>
      </c>
      <c r="U273" s="4" t="str">
        <f aca="false">IF(P273&lt;0.05,"YES","no")</f>
        <v>no</v>
      </c>
      <c r="V273" s="4" t="str">
        <f aca="false">IF(N273&gt;1,"YES","no")</f>
        <v>no</v>
      </c>
    </row>
    <row r="274" customFormat="false" ht="15" hidden="false" customHeight="false" outlineLevel="0" collapsed="false">
      <c r="A274" s="4" t="s">
        <v>376</v>
      </c>
      <c r="B274" s="4"/>
      <c r="C274" s="4" t="s">
        <v>72</v>
      </c>
      <c r="D274" s="8" t="n">
        <v>129.0658</v>
      </c>
      <c r="E274" s="9" t="n">
        <v>8.019</v>
      </c>
      <c r="F274" s="10" t="n">
        <v>1869001.96379033</v>
      </c>
      <c r="G274" s="10" t="n">
        <v>1215718.76833397</v>
      </c>
      <c r="H274" s="10" t="n">
        <v>2022333.26626122</v>
      </c>
      <c r="I274" s="10" t="n">
        <v>877692.729088233</v>
      </c>
      <c r="J274" s="10" t="n">
        <v>1945667.61502578</v>
      </c>
      <c r="K274" s="11" t="n">
        <v>1.08203913395572</v>
      </c>
      <c r="L274" s="11" t="n">
        <v>0.113752677854996</v>
      </c>
      <c r="M274" s="11" t="n">
        <v>0.0789622567129046</v>
      </c>
      <c r="N274" s="11" t="n">
        <v>0.0572188508376351</v>
      </c>
      <c r="O274" s="12" t="n">
        <v>0.807778629117714</v>
      </c>
      <c r="P274" s="12" t="n">
        <v>0.874609235123856</v>
      </c>
      <c r="Q274" s="4" t="n">
        <f aca="false">RANK(N274,$N$7:$N$307,0)</f>
        <v>268</v>
      </c>
      <c r="R274" s="4" t="n">
        <f aca="false">RANK(O274,$O$7:$O$307,1)</f>
        <v>278</v>
      </c>
      <c r="S274" s="4" t="n">
        <f aca="false">RANK(J274,$J$7:$J$307,0)</f>
        <v>143</v>
      </c>
      <c r="T274" s="4" t="str">
        <f aca="false">IF(O274&lt;0.05,"YES","no")</f>
        <v>no</v>
      </c>
      <c r="U274" s="4" t="str">
        <f aca="false">IF(P274&lt;0.05,"YES","no")</f>
        <v>no</v>
      </c>
      <c r="V274" s="4" t="str">
        <f aca="false">IF(N274&gt;1,"YES","no")</f>
        <v>no</v>
      </c>
    </row>
    <row r="275" customFormat="false" ht="15" hidden="false" customHeight="false" outlineLevel="0" collapsed="false">
      <c r="A275" s="4" t="s">
        <v>377</v>
      </c>
      <c r="B275" s="4"/>
      <c r="C275" s="4" t="s">
        <v>72</v>
      </c>
      <c r="D275" s="8" t="n">
        <v>169.12354</v>
      </c>
      <c r="E275" s="9" t="n">
        <v>4.057</v>
      </c>
      <c r="F275" s="10" t="n">
        <v>224005.926628714</v>
      </c>
      <c r="G275" s="10" t="n">
        <v>139766.86850142</v>
      </c>
      <c r="H275" s="10" t="n">
        <v>306714.401541642</v>
      </c>
      <c r="I275" s="10" t="n">
        <v>159306.154046063</v>
      </c>
      <c r="J275" s="10" t="n">
        <v>265360.164085178</v>
      </c>
      <c r="K275" s="11" t="n">
        <v>1.36922449400196</v>
      </c>
      <c r="L275" s="11" t="n">
        <v>0.453359006004857</v>
      </c>
      <c r="M275" s="11" t="n">
        <v>0.289367281484753</v>
      </c>
      <c r="N275" s="11" t="n">
        <v>0.0570836405880457</v>
      </c>
      <c r="O275" s="12" t="n">
        <v>0.362004106595478</v>
      </c>
      <c r="P275" s="12" t="n">
        <v>0.527922852442378</v>
      </c>
      <c r="Q275" s="4" t="n">
        <f aca="false">RANK(N275,$N$7:$N$307,0)</f>
        <v>269</v>
      </c>
      <c r="R275" s="4" t="n">
        <f aca="false">RANK(O275,$O$7:$O$307,1)</f>
        <v>206</v>
      </c>
      <c r="S275" s="4" t="n">
        <f aca="false">RANK(J275,$J$7:$J$307,0)</f>
        <v>241</v>
      </c>
      <c r="T275" s="4" t="str">
        <f aca="false">IF(O275&lt;0.05,"YES","no")</f>
        <v>no</v>
      </c>
      <c r="U275" s="4" t="str">
        <f aca="false">IF(P275&lt;0.05,"YES","no")</f>
        <v>no</v>
      </c>
      <c r="V275" s="4" t="str">
        <f aca="false">IF(N275&gt;1,"YES","no")</f>
        <v>no</v>
      </c>
    </row>
    <row r="276" customFormat="false" ht="15" hidden="false" customHeight="false" outlineLevel="0" collapsed="false">
      <c r="A276" s="4" t="s">
        <v>378</v>
      </c>
      <c r="B276" s="4"/>
      <c r="C276" s="4" t="s">
        <v>61</v>
      </c>
      <c r="D276" s="8" t="n">
        <v>176.03867</v>
      </c>
      <c r="E276" s="9" t="n">
        <v>5.022</v>
      </c>
      <c r="F276" s="10" t="n">
        <v>76103.2865435196</v>
      </c>
      <c r="G276" s="10" t="n">
        <v>76068.5834615655</v>
      </c>
      <c r="H276" s="10" t="n">
        <v>110334.588325363</v>
      </c>
      <c r="I276" s="10" t="n">
        <v>44533.4570863427</v>
      </c>
      <c r="J276" s="10" t="n">
        <v>93218.9374344412</v>
      </c>
      <c r="K276" s="11" t="n">
        <v>1.44980057152023</v>
      </c>
      <c r="L276" s="11" t="n">
        <v>0.5358544628152</v>
      </c>
      <c r="M276" s="11" t="n">
        <v>0.288062962989785</v>
      </c>
      <c r="N276" s="11" t="n">
        <v>0.0569639985823683</v>
      </c>
      <c r="O276" s="12" t="n">
        <v>0.369100195379588</v>
      </c>
      <c r="P276" s="12" t="n">
        <v>0.529955594796578</v>
      </c>
      <c r="Q276" s="4" t="n">
        <f aca="false">RANK(N276,$N$7:$N$307,0)</f>
        <v>270</v>
      </c>
      <c r="R276" s="4" t="n">
        <f aca="false">RANK(O276,$O$7:$O$307,1)</f>
        <v>209</v>
      </c>
      <c r="S276" s="4" t="n">
        <f aca="false">RANK(J276,$J$7:$J$307,0)</f>
        <v>277</v>
      </c>
      <c r="T276" s="4" t="str">
        <f aca="false">IF(O276&lt;0.05,"YES","no")</f>
        <v>no</v>
      </c>
      <c r="U276" s="4" t="str">
        <f aca="false">IF(P276&lt;0.05,"YES","no")</f>
        <v>no</v>
      </c>
      <c r="V276" s="4" t="str">
        <f aca="false">IF(N276&gt;1,"YES","no")</f>
        <v>no</v>
      </c>
    </row>
    <row r="277" customFormat="false" ht="15" hidden="false" customHeight="false" outlineLevel="0" collapsed="false">
      <c r="A277" s="4" t="s">
        <v>379</v>
      </c>
      <c r="B277" s="4"/>
      <c r="C277" s="4" t="s">
        <v>72</v>
      </c>
      <c r="D277" s="8" t="n">
        <v>167.99732</v>
      </c>
      <c r="E277" s="9" t="n">
        <v>9.683</v>
      </c>
      <c r="F277" s="10" t="n">
        <v>101996.85645188</v>
      </c>
      <c r="G277" s="10" t="n">
        <v>50088.2260359001</v>
      </c>
      <c r="H277" s="10" t="n">
        <v>93596.9175770549</v>
      </c>
      <c r="I277" s="10" t="n">
        <v>11886.4171572418</v>
      </c>
      <c r="J277" s="10" t="n">
        <v>97796.8870144673</v>
      </c>
      <c r="K277" s="11" t="n">
        <v>0.917645119986735</v>
      </c>
      <c r="L277" s="11" t="n">
        <v>-0.123991765455204</v>
      </c>
      <c r="M277" s="11" t="n">
        <v>0.125394275631411</v>
      </c>
      <c r="N277" s="11" t="n">
        <v>0.0564806265325663</v>
      </c>
      <c r="O277" s="12" t="n">
        <v>0.704281817996346</v>
      </c>
      <c r="P277" s="12" t="n">
        <v>0.806041168125095</v>
      </c>
      <c r="Q277" s="4" t="n">
        <f aca="false">RANK(N277,$N$7:$N$307,0)</f>
        <v>271</v>
      </c>
      <c r="R277" s="4" t="n">
        <f aca="false">RANK(O277,$O$7:$O$307,1)</f>
        <v>263</v>
      </c>
      <c r="S277" s="4" t="n">
        <f aca="false">RANK(J277,$J$7:$J$307,0)</f>
        <v>276</v>
      </c>
      <c r="T277" s="4" t="str">
        <f aca="false">IF(O277&lt;0.05,"YES","no")</f>
        <v>no</v>
      </c>
      <c r="U277" s="4" t="str">
        <f aca="false">IF(P277&lt;0.05,"YES","no")</f>
        <v>no</v>
      </c>
      <c r="V277" s="4" t="str">
        <f aca="false">IF(N277&gt;1,"YES","no")</f>
        <v>no</v>
      </c>
    </row>
    <row r="278" customFormat="false" ht="15" hidden="false" customHeight="false" outlineLevel="0" collapsed="false">
      <c r="A278" s="4" t="s">
        <v>380</v>
      </c>
      <c r="B278" s="4"/>
      <c r="C278" s="4" t="s">
        <v>72</v>
      </c>
      <c r="D278" s="8" t="n">
        <v>744.08613</v>
      </c>
      <c r="E278" s="9" t="n">
        <v>9.886</v>
      </c>
      <c r="F278" s="10" t="n">
        <v>26580.1742382717</v>
      </c>
      <c r="G278" s="10" t="n">
        <v>13232.6375310245</v>
      </c>
      <c r="H278" s="10" t="n">
        <v>68648.9157507509</v>
      </c>
      <c r="I278" s="10" t="n">
        <v>44463.3250734326</v>
      </c>
      <c r="J278" s="10" t="n">
        <v>47614.5449945113</v>
      </c>
      <c r="K278" s="11" t="n">
        <v>2.58271127703543</v>
      </c>
      <c r="L278" s="11" t="n">
        <v>1.36888637265804</v>
      </c>
      <c r="M278" s="11" t="n">
        <v>0.574797788844973</v>
      </c>
      <c r="N278" s="11" t="n">
        <v>0.0560925556920382</v>
      </c>
      <c r="O278" s="12" t="n">
        <v>0.0689933872127868</v>
      </c>
      <c r="P278" s="12" t="n">
        <v>0.183778845584503</v>
      </c>
      <c r="Q278" s="4" t="n">
        <f aca="false">RANK(N278,$N$7:$N$307,0)</f>
        <v>272</v>
      </c>
      <c r="R278" s="4" t="n">
        <f aca="false">RANK(O278,$O$7:$O$307,1)</f>
        <v>113</v>
      </c>
      <c r="S278" s="4" t="n">
        <f aca="false">RANK(J278,$J$7:$J$307,0)</f>
        <v>290</v>
      </c>
      <c r="T278" s="4" t="str">
        <f aca="false">IF(O278&lt;0.05,"YES","no")</f>
        <v>no</v>
      </c>
      <c r="U278" s="4" t="str">
        <f aca="false">IF(P278&lt;0.05,"YES","no")</f>
        <v>no</v>
      </c>
      <c r="V278" s="4" t="str">
        <f aca="false">IF(N278&gt;1,"YES","no")</f>
        <v>no</v>
      </c>
    </row>
    <row r="279" customFormat="false" ht="15" hidden="false" customHeight="false" outlineLevel="0" collapsed="false">
      <c r="A279" s="4" t="s">
        <v>381</v>
      </c>
      <c r="B279" s="4"/>
      <c r="C279" s="4" t="s">
        <v>72</v>
      </c>
      <c r="D279" s="8" t="n">
        <v>149.02778</v>
      </c>
      <c r="E279" s="9" t="n">
        <v>5.021</v>
      </c>
      <c r="F279" s="10" t="n">
        <v>53840.5910146289</v>
      </c>
      <c r="G279" s="10" t="n">
        <v>45963.6949087745</v>
      </c>
      <c r="H279" s="10" t="n">
        <v>56023.3512092854</v>
      </c>
      <c r="I279" s="10" t="n">
        <v>17332.2142534917</v>
      </c>
      <c r="J279" s="10" t="n">
        <v>54931.9711119572</v>
      </c>
      <c r="K279" s="11" t="n">
        <v>1.04054116334019</v>
      </c>
      <c r="L279" s="11" t="n">
        <v>0.0573340385687774</v>
      </c>
      <c r="M279" s="11" t="n">
        <v>0.0343985293662507</v>
      </c>
      <c r="N279" s="11" t="n">
        <v>0.056000311490386</v>
      </c>
      <c r="O279" s="12" t="n">
        <v>0.916663931538482</v>
      </c>
      <c r="P279" s="12" t="n">
        <v>0.94277049963048</v>
      </c>
      <c r="Q279" s="4" t="n">
        <f aca="false">RANK(N279,$N$7:$N$307,0)</f>
        <v>273</v>
      </c>
      <c r="R279" s="4" t="n">
        <f aca="false">RANK(O279,$O$7:$O$307,1)</f>
        <v>292</v>
      </c>
      <c r="S279" s="4" t="n">
        <f aca="false">RANK(J279,$J$7:$J$307,0)</f>
        <v>287</v>
      </c>
      <c r="T279" s="4" t="str">
        <f aca="false">IF(O279&lt;0.05,"YES","no")</f>
        <v>no</v>
      </c>
      <c r="U279" s="4" t="str">
        <f aca="false">IF(P279&lt;0.05,"YES","no")</f>
        <v>no</v>
      </c>
      <c r="V279" s="4" t="str">
        <f aca="false">IF(N279&gt;1,"YES","no")</f>
        <v>no</v>
      </c>
    </row>
    <row r="280" customFormat="false" ht="15" hidden="false" customHeight="false" outlineLevel="0" collapsed="false">
      <c r="A280" s="4" t="s">
        <v>382</v>
      </c>
      <c r="B280" s="4"/>
      <c r="C280" s="4" t="s">
        <v>72</v>
      </c>
      <c r="D280" s="8" t="n">
        <v>416.21393</v>
      </c>
      <c r="E280" s="9" t="n">
        <v>5.02</v>
      </c>
      <c r="F280" s="10" t="n">
        <v>351477.565264772</v>
      </c>
      <c r="G280" s="10" t="n">
        <v>113999.303621152</v>
      </c>
      <c r="H280" s="10" t="n">
        <v>417344.015624705</v>
      </c>
      <c r="I280" s="10" t="n">
        <v>224306.723888195</v>
      </c>
      <c r="J280" s="10" t="n">
        <v>384410.790444739</v>
      </c>
      <c r="K280" s="11" t="n">
        <v>1.1873987328617</v>
      </c>
      <c r="L280" s="11" t="n">
        <v>0.247804478641048</v>
      </c>
      <c r="M280" s="11" t="n">
        <v>0.198726774566327</v>
      </c>
      <c r="N280" s="11" t="n">
        <v>0.0549285452498401</v>
      </c>
      <c r="O280" s="12" t="n">
        <v>0.540671058887477</v>
      </c>
      <c r="P280" s="12" t="n">
        <v>0.678091619688043</v>
      </c>
      <c r="Q280" s="4" t="n">
        <f aca="false">RANK(N280,$N$7:$N$307,0)</f>
        <v>274</v>
      </c>
      <c r="R280" s="4" t="n">
        <f aca="false">RANK(O280,$O$7:$O$307,1)</f>
        <v>240</v>
      </c>
      <c r="S280" s="4" t="n">
        <f aca="false">RANK(J280,$J$7:$J$307,0)</f>
        <v>221</v>
      </c>
      <c r="T280" s="4" t="str">
        <f aca="false">IF(O280&lt;0.05,"YES","no")</f>
        <v>no</v>
      </c>
      <c r="U280" s="4" t="str">
        <f aca="false">IF(P280&lt;0.05,"YES","no")</f>
        <v>no</v>
      </c>
      <c r="V280" s="4" t="str">
        <f aca="false">IF(N280&gt;1,"YES","no")</f>
        <v>no</v>
      </c>
    </row>
    <row r="281" customFormat="false" ht="15" hidden="false" customHeight="false" outlineLevel="0" collapsed="false">
      <c r="A281" s="4" t="s">
        <v>383</v>
      </c>
      <c r="B281" s="4"/>
      <c r="C281" s="4" t="s">
        <v>72</v>
      </c>
      <c r="D281" s="8" t="n">
        <v>167.03515</v>
      </c>
      <c r="E281" s="9" t="n">
        <v>6.887</v>
      </c>
      <c r="F281" s="10" t="n">
        <v>87976.892566645</v>
      </c>
      <c r="G281" s="10" t="n">
        <v>64091.9189813667</v>
      </c>
      <c r="H281" s="10" t="n">
        <v>92870.2382656075</v>
      </c>
      <c r="I281" s="10" t="n">
        <v>34801.825479424</v>
      </c>
      <c r="J281" s="10" t="n">
        <v>90423.5654161262</v>
      </c>
      <c r="K281" s="11" t="n">
        <v>1.05562080628451</v>
      </c>
      <c r="L281" s="11" t="n">
        <v>0.0780916915741491</v>
      </c>
      <c r="M281" s="11" t="n">
        <v>0.051901891994731</v>
      </c>
      <c r="N281" s="11" t="n">
        <v>0.0547830031503784</v>
      </c>
      <c r="O281" s="12" t="n">
        <v>0.873681044980645</v>
      </c>
      <c r="P281" s="12" t="n">
        <v>0.916299632540677</v>
      </c>
      <c r="Q281" s="4" t="n">
        <f aca="false">RANK(N281,$N$7:$N$307,0)</f>
        <v>275</v>
      </c>
      <c r="R281" s="4" t="n">
        <f aca="false">RANK(O281,$O$7:$O$307,1)</f>
        <v>287</v>
      </c>
      <c r="S281" s="4" t="n">
        <f aca="false">RANK(J281,$J$7:$J$307,0)</f>
        <v>278</v>
      </c>
      <c r="T281" s="4" t="str">
        <f aca="false">IF(O281&lt;0.05,"YES","no")</f>
        <v>no</v>
      </c>
      <c r="U281" s="4" t="str">
        <f aca="false">IF(P281&lt;0.05,"YES","no")</f>
        <v>no</v>
      </c>
      <c r="V281" s="4" t="str">
        <f aca="false">IF(N281&gt;1,"YES","no")</f>
        <v>no</v>
      </c>
    </row>
    <row r="282" customFormat="false" ht="15" hidden="false" customHeight="false" outlineLevel="0" collapsed="false">
      <c r="A282" s="4" t="s">
        <v>384</v>
      </c>
      <c r="B282" s="4"/>
      <c r="C282" s="4" t="s">
        <v>72</v>
      </c>
      <c r="D282" s="8" t="n">
        <v>253.11819</v>
      </c>
      <c r="E282" s="9" t="n">
        <v>6.829</v>
      </c>
      <c r="F282" s="10" t="n">
        <v>204207.90582264</v>
      </c>
      <c r="G282" s="10" t="n">
        <v>147546.956276613</v>
      </c>
      <c r="H282" s="10" t="n">
        <v>247692.374400692</v>
      </c>
      <c r="I282" s="10" t="n">
        <v>103149.561381636</v>
      </c>
      <c r="J282" s="10" t="n">
        <v>225950.140111666</v>
      </c>
      <c r="K282" s="11" t="n">
        <v>1.21294214052525</v>
      </c>
      <c r="L282" s="11" t="n">
        <v>0.278510733007333</v>
      </c>
      <c r="M282" s="11" t="n">
        <v>0.183907435268196</v>
      </c>
      <c r="N282" s="11" t="n">
        <v>0.0536663140190811</v>
      </c>
      <c r="O282" s="12" t="n">
        <v>0.568728942244782</v>
      </c>
      <c r="P282" s="12" t="n">
        <v>0.690271821030965</v>
      </c>
      <c r="Q282" s="4" t="n">
        <f aca="false">RANK(N282,$N$7:$N$307,0)</f>
        <v>276</v>
      </c>
      <c r="R282" s="4" t="n">
        <f aca="false">RANK(O282,$O$7:$O$307,1)</f>
        <v>248</v>
      </c>
      <c r="S282" s="4" t="n">
        <f aca="false">RANK(J282,$J$7:$J$307,0)</f>
        <v>247</v>
      </c>
      <c r="T282" s="4" t="str">
        <f aca="false">IF(O282&lt;0.05,"YES","no")</f>
        <v>no</v>
      </c>
      <c r="U282" s="4" t="str">
        <f aca="false">IF(P282&lt;0.05,"YES","no")</f>
        <v>no</v>
      </c>
      <c r="V282" s="4" t="str">
        <f aca="false">IF(N282&gt;1,"YES","no")</f>
        <v>no</v>
      </c>
    </row>
    <row r="283" customFormat="false" ht="15" hidden="false" customHeight="false" outlineLevel="0" collapsed="false">
      <c r="A283" s="4" t="s">
        <v>385</v>
      </c>
      <c r="B283" s="4"/>
      <c r="C283" s="4" t="s">
        <v>72</v>
      </c>
      <c r="D283" s="8" t="n">
        <v>205.11833</v>
      </c>
      <c r="E283" s="9" t="n">
        <v>7.411</v>
      </c>
      <c r="F283" s="10" t="n">
        <v>111329.685186735</v>
      </c>
      <c r="G283" s="10" t="n">
        <v>89333.6430842707</v>
      </c>
      <c r="H283" s="10" t="n">
        <v>170849.83575546</v>
      </c>
      <c r="I283" s="10" t="n">
        <v>128685.277280901</v>
      </c>
      <c r="J283" s="10" t="n">
        <v>141089.760471097</v>
      </c>
      <c r="K283" s="11" t="n">
        <v>1.53462964948559</v>
      </c>
      <c r="L283" s="11" t="n">
        <v>0.617890533565026</v>
      </c>
      <c r="M283" s="11" t="n">
        <v>0.28233244916181</v>
      </c>
      <c r="N283" s="11" t="n">
        <v>0.0487568472690207</v>
      </c>
      <c r="O283" s="12" t="n">
        <v>0.376545910211131</v>
      </c>
      <c r="P283" s="12" t="n">
        <v>0.534975630577546</v>
      </c>
      <c r="Q283" s="4" t="n">
        <f aca="false">RANK(N283,$N$7:$N$307,0)</f>
        <v>277</v>
      </c>
      <c r="R283" s="4" t="n">
        <f aca="false">RANK(O283,$O$7:$O$307,1)</f>
        <v>211</v>
      </c>
      <c r="S283" s="4" t="n">
        <f aca="false">RANK(J283,$J$7:$J$307,0)</f>
        <v>265</v>
      </c>
      <c r="T283" s="4" t="str">
        <f aca="false">IF(O283&lt;0.05,"YES","no")</f>
        <v>no</v>
      </c>
      <c r="U283" s="4" t="str">
        <f aca="false">IF(P283&lt;0.05,"YES","no")</f>
        <v>no</v>
      </c>
      <c r="V283" s="4" t="str">
        <f aca="false">IF(N283&gt;1,"YES","no")</f>
        <v>no</v>
      </c>
    </row>
    <row r="284" customFormat="false" ht="15" hidden="false" customHeight="false" outlineLevel="0" collapsed="false">
      <c r="A284" s="4" t="s">
        <v>386</v>
      </c>
      <c r="B284" s="4"/>
      <c r="C284" s="4" t="s">
        <v>72</v>
      </c>
      <c r="D284" s="8" t="n">
        <v>203.12759</v>
      </c>
      <c r="E284" s="9" t="n">
        <v>5.019</v>
      </c>
      <c r="F284" s="10" t="n">
        <v>49843.4344164861</v>
      </c>
      <c r="G284" s="10" t="n">
        <v>32864.51175546</v>
      </c>
      <c r="H284" s="10" t="n">
        <v>81456.4426481178</v>
      </c>
      <c r="I284" s="10" t="n">
        <v>42702.7460457071</v>
      </c>
      <c r="J284" s="10" t="n">
        <v>65649.9385323019</v>
      </c>
      <c r="K284" s="11" t="n">
        <v>1.63424618712019</v>
      </c>
      <c r="L284" s="11" t="n">
        <v>0.708625331209421</v>
      </c>
      <c r="M284" s="11" t="n">
        <v>0.413720577585707</v>
      </c>
      <c r="N284" s="11" t="n">
        <v>0.0466030968834612</v>
      </c>
      <c r="O284" s="12" t="n">
        <v>0.183193207931695</v>
      </c>
      <c r="P284" s="12" t="n">
        <v>0.344632222421501</v>
      </c>
      <c r="Q284" s="4" t="n">
        <f aca="false">RANK(N284,$N$7:$N$307,0)</f>
        <v>278</v>
      </c>
      <c r="R284" s="4" t="n">
        <f aca="false">RANK(O284,$O$7:$O$307,1)</f>
        <v>160</v>
      </c>
      <c r="S284" s="4" t="n">
        <f aca="false">RANK(J284,$J$7:$J$307,0)</f>
        <v>284</v>
      </c>
      <c r="T284" s="4" t="str">
        <f aca="false">IF(O284&lt;0.05,"YES","no")</f>
        <v>no</v>
      </c>
      <c r="U284" s="4" t="str">
        <f aca="false">IF(P284&lt;0.05,"YES","no")</f>
        <v>no</v>
      </c>
      <c r="V284" s="4" t="str">
        <f aca="false">IF(N284&gt;1,"YES","no")</f>
        <v>no</v>
      </c>
    </row>
    <row r="285" customFormat="false" ht="15" hidden="false" customHeight="false" outlineLevel="0" collapsed="false">
      <c r="A285" s="4" t="s">
        <v>387</v>
      </c>
      <c r="B285" s="4"/>
      <c r="C285" s="4" t="s">
        <v>72</v>
      </c>
      <c r="D285" s="8" t="n">
        <v>330.06001</v>
      </c>
      <c r="E285" s="9" t="n">
        <v>7.481</v>
      </c>
      <c r="F285" s="10" t="n">
        <v>83450.3887920472</v>
      </c>
      <c r="G285" s="10" t="n">
        <v>52267.5592401987</v>
      </c>
      <c r="H285" s="10" t="n">
        <v>113441.778285001</v>
      </c>
      <c r="I285" s="10" t="n">
        <v>54775.7464416682</v>
      </c>
      <c r="J285" s="10" t="n">
        <v>98446.083538524</v>
      </c>
      <c r="K285" s="11" t="n">
        <v>1.35939184858312</v>
      </c>
      <c r="L285" s="11" t="n">
        <v>0.442961377019612</v>
      </c>
      <c r="M285" s="11" t="n">
        <v>0.293339277916289</v>
      </c>
      <c r="N285" s="11" t="n">
        <v>0.0452674044070223</v>
      </c>
      <c r="O285" s="12" t="n">
        <v>0.354826438090896</v>
      </c>
      <c r="P285" s="12" t="n">
        <v>0.527132292335653</v>
      </c>
      <c r="Q285" s="4" t="n">
        <f aca="false">RANK(N285,$N$7:$N$307,0)</f>
        <v>279</v>
      </c>
      <c r="R285" s="4" t="n">
        <f aca="false">RANK(O285,$O$7:$O$307,1)</f>
        <v>202</v>
      </c>
      <c r="S285" s="4" t="n">
        <f aca="false">RANK(J285,$J$7:$J$307,0)</f>
        <v>274</v>
      </c>
      <c r="T285" s="4" t="str">
        <f aca="false">IF(O285&lt;0.05,"YES","no")</f>
        <v>no</v>
      </c>
      <c r="U285" s="4" t="str">
        <f aca="false">IF(P285&lt;0.05,"YES","no")</f>
        <v>no</v>
      </c>
      <c r="V285" s="4" t="str">
        <f aca="false">IF(N285&gt;1,"YES","no")</f>
        <v>no</v>
      </c>
    </row>
    <row r="286" customFormat="false" ht="15" hidden="false" customHeight="false" outlineLevel="0" collapsed="false">
      <c r="A286" s="4" t="s">
        <v>388</v>
      </c>
      <c r="B286" s="4"/>
      <c r="C286" s="4" t="s">
        <v>72</v>
      </c>
      <c r="D286" s="8" t="n">
        <v>203.13893</v>
      </c>
      <c r="E286" s="9" t="n">
        <v>6.828</v>
      </c>
      <c r="F286" s="10" t="n">
        <v>521369.880914225</v>
      </c>
      <c r="G286" s="10" t="n">
        <v>154849.883442804</v>
      </c>
      <c r="H286" s="10" t="n">
        <v>602383.953205604</v>
      </c>
      <c r="I286" s="10" t="n">
        <v>276275.114875169</v>
      </c>
      <c r="J286" s="10" t="n">
        <v>561876.917059915</v>
      </c>
      <c r="K286" s="11" t="n">
        <v>1.15538694362114</v>
      </c>
      <c r="L286" s="11" t="n">
        <v>0.208376096796507</v>
      </c>
      <c r="M286" s="11" t="n">
        <v>0.194361273056572</v>
      </c>
      <c r="N286" s="11" t="n">
        <v>0.0426102268445142</v>
      </c>
      <c r="O286" s="12" t="n">
        <v>0.548701599290147</v>
      </c>
      <c r="P286" s="12" t="n">
        <v>0.681652568082433</v>
      </c>
      <c r="Q286" s="4" t="n">
        <f aca="false">RANK(N286,$N$7:$N$307,0)</f>
        <v>280</v>
      </c>
      <c r="R286" s="4" t="n">
        <f aca="false">RANK(O286,$O$7:$O$307,1)</f>
        <v>242</v>
      </c>
      <c r="S286" s="4" t="n">
        <f aca="false">RANK(J286,$J$7:$J$307,0)</f>
        <v>198</v>
      </c>
      <c r="T286" s="4" t="str">
        <f aca="false">IF(O286&lt;0.05,"YES","no")</f>
        <v>no</v>
      </c>
      <c r="U286" s="4" t="str">
        <f aca="false">IF(P286&lt;0.05,"YES","no")</f>
        <v>no</v>
      </c>
      <c r="V286" s="4" t="str">
        <f aca="false">IF(N286&gt;1,"YES","no")</f>
        <v>no</v>
      </c>
    </row>
    <row r="287" customFormat="false" ht="15" hidden="false" customHeight="false" outlineLevel="0" collapsed="false">
      <c r="A287" s="4" t="s">
        <v>389</v>
      </c>
      <c r="B287" s="4"/>
      <c r="C287" s="4" t="s">
        <v>72</v>
      </c>
      <c r="D287" s="8" t="n">
        <v>205.08299</v>
      </c>
      <c r="E287" s="9" t="n">
        <v>8.545</v>
      </c>
      <c r="F287" s="10" t="n">
        <v>31844.945188362</v>
      </c>
      <c r="G287" s="10" t="n">
        <v>17615.3266582949</v>
      </c>
      <c r="H287" s="10" t="n">
        <v>31842.906008061</v>
      </c>
      <c r="I287" s="10" t="n">
        <v>11884.1238269149</v>
      </c>
      <c r="J287" s="10" t="n">
        <v>31843.9255982115</v>
      </c>
      <c r="K287" s="11" t="n">
        <v>0.999935965338016</v>
      </c>
      <c r="L287" s="11" t="n">
        <v>-9.238544725571E-005</v>
      </c>
      <c r="M287" s="11" t="n">
        <v>7.43339002162426E-005</v>
      </c>
      <c r="N287" s="11" t="n">
        <v>0.0381703536740537</v>
      </c>
      <c r="O287" s="12" t="n">
        <v>0.999817705378382</v>
      </c>
      <c r="P287" s="12" t="n">
        <v>0.999817705378382</v>
      </c>
      <c r="Q287" s="4" t="n">
        <f aca="false">RANK(N287,$N$7:$N$307,0)</f>
        <v>281</v>
      </c>
      <c r="R287" s="4" t="n">
        <f aca="false">RANK(O287,$O$7:$O$307,1)</f>
        <v>301</v>
      </c>
      <c r="S287" s="4" t="n">
        <f aca="false">RANK(J287,$J$7:$J$307,0)</f>
        <v>296</v>
      </c>
      <c r="T287" s="4" t="str">
        <f aca="false">IF(O287&lt;0.05,"YES","no")</f>
        <v>no</v>
      </c>
      <c r="U287" s="4" t="str">
        <f aca="false">IF(P287&lt;0.05,"YES","no")</f>
        <v>no</v>
      </c>
      <c r="V287" s="4" t="str">
        <f aca="false">IF(N287&gt;1,"YES","no")</f>
        <v>no</v>
      </c>
    </row>
    <row r="288" customFormat="false" ht="15" hidden="false" customHeight="false" outlineLevel="0" collapsed="false">
      <c r="A288" s="4" t="s">
        <v>390</v>
      </c>
      <c r="B288" s="4" t="s">
        <v>391</v>
      </c>
      <c r="C288" s="4" t="s">
        <v>72</v>
      </c>
      <c r="D288" s="8" t="n">
        <v>348.07055</v>
      </c>
      <c r="E288" s="9" t="n">
        <v>7.787</v>
      </c>
      <c r="F288" s="10" t="n">
        <v>91080.2621965676</v>
      </c>
      <c r="G288" s="10" t="n">
        <v>61960.3113882561</v>
      </c>
      <c r="H288" s="10" t="n">
        <v>104905.5249138</v>
      </c>
      <c r="I288" s="10" t="n">
        <v>71677.7056868402</v>
      </c>
      <c r="J288" s="10" t="n">
        <v>97992.8935551838</v>
      </c>
      <c r="K288" s="11" t="n">
        <v>1.15179208298056</v>
      </c>
      <c r="L288" s="11" t="n">
        <v>0.203880310595228</v>
      </c>
      <c r="M288" s="11" t="n">
        <v>0.112313584373701</v>
      </c>
      <c r="N288" s="11" t="n">
        <v>0.0378679826837496</v>
      </c>
      <c r="O288" s="12" t="n">
        <v>0.72835237629223</v>
      </c>
      <c r="P288" s="12" t="n">
        <v>0.827298359486646</v>
      </c>
      <c r="Q288" s="4" t="n">
        <f aca="false">RANK(N288,$N$7:$N$307,0)</f>
        <v>282</v>
      </c>
      <c r="R288" s="4" t="n">
        <f aca="false">RANK(O288,$O$7:$O$307,1)</f>
        <v>265</v>
      </c>
      <c r="S288" s="4" t="n">
        <f aca="false">RANK(J288,$J$7:$J$307,0)</f>
        <v>275</v>
      </c>
      <c r="T288" s="4" t="str">
        <f aca="false">IF(O288&lt;0.05,"YES","no")</f>
        <v>no</v>
      </c>
      <c r="U288" s="4" t="str">
        <f aca="false">IF(P288&lt;0.05,"YES","no")</f>
        <v>no</v>
      </c>
      <c r="V288" s="4" t="str">
        <f aca="false">IF(N288&gt;1,"YES","no")</f>
        <v>no</v>
      </c>
    </row>
    <row r="289" customFormat="false" ht="15" hidden="false" customHeight="false" outlineLevel="0" collapsed="false">
      <c r="A289" s="4" t="s">
        <v>392</v>
      </c>
      <c r="B289" s="4"/>
      <c r="C289" s="4" t="s">
        <v>72</v>
      </c>
      <c r="D289" s="8" t="n">
        <v>404.02579</v>
      </c>
      <c r="E289" s="9" t="n">
        <v>10.524</v>
      </c>
      <c r="F289" s="10" t="n">
        <v>30014.5248645123</v>
      </c>
      <c r="G289" s="10" t="n">
        <v>14452.8623478738</v>
      </c>
      <c r="H289" s="10" t="n">
        <v>21690.8163338343</v>
      </c>
      <c r="I289" s="10" t="n">
        <v>3656.83780126968</v>
      </c>
      <c r="J289" s="10" t="n">
        <v>25852.6705991733</v>
      </c>
      <c r="K289" s="11" t="n">
        <v>0.722677318123413</v>
      </c>
      <c r="L289" s="11" t="n">
        <v>-0.468576480158641</v>
      </c>
      <c r="M289" s="11" t="n">
        <v>0.396946438196767</v>
      </c>
      <c r="N289" s="11" t="n">
        <v>0.0365600059014696</v>
      </c>
      <c r="O289" s="12" t="n">
        <v>0.223439161592417</v>
      </c>
      <c r="P289" s="12" t="n">
        <v>0.388758310053858</v>
      </c>
      <c r="Q289" s="4" t="n">
        <f aca="false">RANK(N289,$N$7:$N$307,0)</f>
        <v>283</v>
      </c>
      <c r="R289" s="4" t="n">
        <f aca="false">RANK(O289,$O$7:$O$307,1)</f>
        <v>173</v>
      </c>
      <c r="S289" s="4" t="n">
        <f aca="false">RANK(J289,$J$7:$J$307,0)</f>
        <v>297</v>
      </c>
      <c r="T289" s="4" t="str">
        <f aca="false">IF(O289&lt;0.05,"YES","no")</f>
        <v>no</v>
      </c>
      <c r="U289" s="4" t="str">
        <f aca="false">IF(P289&lt;0.05,"YES","no")</f>
        <v>no</v>
      </c>
      <c r="V289" s="4" t="str">
        <f aca="false">IF(N289&gt;1,"YES","no")</f>
        <v>no</v>
      </c>
    </row>
    <row r="290" customFormat="false" ht="15" hidden="false" customHeight="false" outlineLevel="0" collapsed="false">
      <c r="A290" s="4" t="s">
        <v>393</v>
      </c>
      <c r="B290" s="4"/>
      <c r="C290" s="4" t="s">
        <v>72</v>
      </c>
      <c r="D290" s="8" t="n">
        <v>341.10859</v>
      </c>
      <c r="E290" s="9" t="n">
        <v>12.088</v>
      </c>
      <c r="F290" s="10" t="n">
        <v>44997.8187396382</v>
      </c>
      <c r="G290" s="10" t="n">
        <v>10997.5366262339</v>
      </c>
      <c r="H290" s="10" t="n">
        <v>66248.1299968379</v>
      </c>
      <c r="I290" s="10" t="n">
        <v>23564.812619317</v>
      </c>
      <c r="J290" s="10" t="n">
        <v>55622.9743682381</v>
      </c>
      <c r="K290" s="11" t="n">
        <v>1.47225203026298</v>
      </c>
      <c r="L290" s="11" t="n">
        <v>0.558024663029953</v>
      </c>
      <c r="M290" s="11" t="n">
        <v>0.534837674801786</v>
      </c>
      <c r="N290" s="11" t="n">
        <v>0.0360472885165098</v>
      </c>
      <c r="O290" s="12" t="n">
        <v>0.0849532719133979</v>
      </c>
      <c r="P290" s="12" t="n">
        <v>0.210249955533359</v>
      </c>
      <c r="Q290" s="4" t="n">
        <f aca="false">RANK(N290,$N$7:$N$307,0)</f>
        <v>284</v>
      </c>
      <c r="R290" s="4" t="n">
        <f aca="false">RANK(O290,$O$7:$O$307,1)</f>
        <v>121</v>
      </c>
      <c r="S290" s="4" t="n">
        <f aca="false">RANK(J290,$J$7:$J$307,0)</f>
        <v>286</v>
      </c>
      <c r="T290" s="4" t="str">
        <f aca="false">IF(O290&lt;0.05,"YES","no")</f>
        <v>no</v>
      </c>
      <c r="U290" s="4" t="str">
        <f aca="false">IF(P290&lt;0.05,"YES","no")</f>
        <v>no</v>
      </c>
      <c r="V290" s="4" t="str">
        <f aca="false">IF(N290&gt;1,"YES","no")</f>
        <v>no</v>
      </c>
    </row>
    <row r="291" customFormat="false" ht="15" hidden="false" customHeight="false" outlineLevel="0" collapsed="false">
      <c r="A291" s="4" t="s">
        <v>394</v>
      </c>
      <c r="B291" s="4"/>
      <c r="C291" s="4" t="s">
        <v>72</v>
      </c>
      <c r="D291" s="8" t="n">
        <v>219.02645</v>
      </c>
      <c r="E291" s="9" t="n">
        <v>10.734</v>
      </c>
      <c r="F291" s="10" t="n">
        <v>1710821.81713793</v>
      </c>
      <c r="G291" s="10" t="n">
        <v>587109.256127689</v>
      </c>
      <c r="H291" s="10" t="n">
        <v>1624778.77713715</v>
      </c>
      <c r="I291" s="10" t="n">
        <v>420512.764868209</v>
      </c>
      <c r="J291" s="10" t="n">
        <v>1667800.29713754</v>
      </c>
      <c r="K291" s="11" t="n">
        <v>0.949706603493801</v>
      </c>
      <c r="L291" s="11" t="n">
        <v>-0.0744462099288224</v>
      </c>
      <c r="M291" s="11" t="n">
        <v>0.0918989940914758</v>
      </c>
      <c r="N291" s="11" t="n">
        <v>0.0355222521205255</v>
      </c>
      <c r="O291" s="12" t="n">
        <v>0.776976447559667</v>
      </c>
      <c r="P291" s="12" t="n">
        <v>0.850436038965308</v>
      </c>
      <c r="Q291" s="4" t="n">
        <f aca="false">RANK(N291,$N$7:$N$307,0)</f>
        <v>285</v>
      </c>
      <c r="R291" s="4" t="n">
        <f aca="false">RANK(O291,$O$7:$O$307,1)</f>
        <v>275</v>
      </c>
      <c r="S291" s="4" t="n">
        <f aca="false">RANK(J291,$J$7:$J$307,0)</f>
        <v>150</v>
      </c>
      <c r="T291" s="4" t="str">
        <f aca="false">IF(O291&lt;0.05,"YES","no")</f>
        <v>no</v>
      </c>
      <c r="U291" s="4" t="str">
        <f aca="false">IF(P291&lt;0.05,"YES","no")</f>
        <v>no</v>
      </c>
      <c r="V291" s="4" t="str">
        <f aca="false">IF(N291&gt;1,"YES","no")</f>
        <v>no</v>
      </c>
    </row>
    <row r="292" customFormat="false" ht="15" hidden="false" customHeight="false" outlineLevel="0" collapsed="false">
      <c r="A292" s="4" t="s">
        <v>395</v>
      </c>
      <c r="B292" s="4"/>
      <c r="C292" s="4" t="s">
        <v>72</v>
      </c>
      <c r="D292" s="8" t="n">
        <v>249.12665</v>
      </c>
      <c r="E292" s="9" t="n">
        <v>5.019</v>
      </c>
      <c r="F292" s="10" t="n">
        <v>35600.367421357</v>
      </c>
      <c r="G292" s="10" t="n">
        <v>17930.251013829</v>
      </c>
      <c r="H292" s="10" t="n">
        <v>33855.7173726231</v>
      </c>
      <c r="I292" s="10" t="n">
        <v>17570.6522794987</v>
      </c>
      <c r="J292" s="10" t="n">
        <v>34728.04239699</v>
      </c>
      <c r="K292" s="11" t="n">
        <v>0.950993481946838</v>
      </c>
      <c r="L292" s="11" t="n">
        <v>-0.0724926419142464</v>
      </c>
      <c r="M292" s="11" t="n">
        <v>0.0537537688698242</v>
      </c>
      <c r="N292" s="11" t="n">
        <v>0.0350538158133195</v>
      </c>
      <c r="O292" s="12" t="n">
        <v>0.868225024800743</v>
      </c>
      <c r="P292" s="12" t="n">
        <v>0.913761302325257</v>
      </c>
      <c r="Q292" s="4" t="n">
        <f aca="false">RANK(N292,$N$7:$N$307,0)</f>
        <v>286</v>
      </c>
      <c r="R292" s="4" t="n">
        <f aca="false">RANK(O292,$O$7:$O$307,1)</f>
        <v>286</v>
      </c>
      <c r="S292" s="4" t="n">
        <f aca="false">RANK(J292,$J$7:$J$307,0)</f>
        <v>293</v>
      </c>
      <c r="T292" s="4" t="str">
        <f aca="false">IF(O292&lt;0.05,"YES","no")</f>
        <v>no</v>
      </c>
      <c r="U292" s="4" t="str">
        <f aca="false">IF(P292&lt;0.05,"YES","no")</f>
        <v>no</v>
      </c>
      <c r="V292" s="4" t="str">
        <f aca="false">IF(N292&gt;1,"YES","no")</f>
        <v>no</v>
      </c>
    </row>
    <row r="293" customFormat="false" ht="15" hidden="false" customHeight="false" outlineLevel="0" collapsed="false">
      <c r="A293" s="4" t="s">
        <v>396</v>
      </c>
      <c r="B293" s="4"/>
      <c r="C293" s="4" t="s">
        <v>61</v>
      </c>
      <c r="D293" s="8" t="n">
        <v>565.04834</v>
      </c>
      <c r="E293" s="9" t="n">
        <v>9.699</v>
      </c>
      <c r="F293" s="10" t="n">
        <v>35638.967543202</v>
      </c>
      <c r="G293" s="10" t="n">
        <v>15397.3918096304</v>
      </c>
      <c r="H293" s="10" t="n">
        <v>55225.4058020348</v>
      </c>
      <c r="I293" s="10" t="n">
        <v>20228.6735332863</v>
      </c>
      <c r="J293" s="10" t="n">
        <v>45432.1866726184</v>
      </c>
      <c r="K293" s="11" t="n">
        <v>1.54957928382998</v>
      </c>
      <c r="L293" s="11" t="n">
        <v>0.631876571937427</v>
      </c>
      <c r="M293" s="11" t="n">
        <v>0.512467139294657</v>
      </c>
      <c r="N293" s="11" t="n">
        <v>0.0345313816735509</v>
      </c>
      <c r="O293" s="12" t="n">
        <v>0.0905588423880049</v>
      </c>
      <c r="P293" s="12" t="n">
        <v>0.218065692470316</v>
      </c>
      <c r="Q293" s="4" t="n">
        <f aca="false">RANK(N293,$N$7:$N$307,0)</f>
        <v>287</v>
      </c>
      <c r="R293" s="4" t="n">
        <f aca="false">RANK(O293,$O$7:$O$307,1)</f>
        <v>125</v>
      </c>
      <c r="S293" s="4" t="n">
        <f aca="false">RANK(J293,$J$7:$J$307,0)</f>
        <v>292</v>
      </c>
      <c r="T293" s="4" t="str">
        <f aca="false">IF(O293&lt;0.05,"YES","no")</f>
        <v>no</v>
      </c>
      <c r="U293" s="4" t="str">
        <f aca="false">IF(P293&lt;0.05,"YES","no")</f>
        <v>no</v>
      </c>
      <c r="V293" s="4" t="str">
        <f aca="false">IF(N293&gt;1,"YES","no")</f>
        <v>no</v>
      </c>
    </row>
    <row r="294" customFormat="false" ht="15" hidden="false" customHeight="false" outlineLevel="0" collapsed="false">
      <c r="A294" s="4" t="s">
        <v>397</v>
      </c>
      <c r="B294" s="4" t="s">
        <v>398</v>
      </c>
      <c r="C294" s="4" t="s">
        <v>72</v>
      </c>
      <c r="D294" s="8" t="n">
        <v>166.02921</v>
      </c>
      <c r="E294" s="9" t="n">
        <v>11.73</v>
      </c>
      <c r="F294" s="10" t="n">
        <v>263971.528297365</v>
      </c>
      <c r="G294" s="10" t="n">
        <v>70571.3729567024</v>
      </c>
      <c r="H294" s="10" t="n">
        <v>272152.348830038</v>
      </c>
      <c r="I294" s="10" t="n">
        <v>156644.31696678</v>
      </c>
      <c r="J294" s="10" t="n">
        <v>268061.938563701</v>
      </c>
      <c r="K294" s="11" t="n">
        <v>1.03099129889288</v>
      </c>
      <c r="L294" s="11" t="n">
        <v>0.0440321570541626</v>
      </c>
      <c r="M294" s="11" t="n">
        <v>0.0368583240320957</v>
      </c>
      <c r="N294" s="11" t="n">
        <v>0.0340178473666527</v>
      </c>
      <c r="O294" s="12" t="n">
        <v>0.910447967338778</v>
      </c>
      <c r="P294" s="12" t="n">
        <v>0.941734839068633</v>
      </c>
      <c r="Q294" s="4" t="n">
        <f aca="false">RANK(N294,$N$7:$N$307,0)</f>
        <v>288</v>
      </c>
      <c r="R294" s="4" t="n">
        <f aca="false">RANK(O294,$O$7:$O$307,1)</f>
        <v>291</v>
      </c>
      <c r="S294" s="4" t="n">
        <f aca="false">RANK(J294,$J$7:$J$307,0)</f>
        <v>239</v>
      </c>
      <c r="T294" s="4" t="str">
        <f aca="false">IF(O294&lt;0.05,"YES","no")</f>
        <v>no</v>
      </c>
      <c r="U294" s="4" t="str">
        <f aca="false">IF(P294&lt;0.05,"YES","no")</f>
        <v>no</v>
      </c>
      <c r="V294" s="4" t="str">
        <f aca="false">IF(N294&gt;1,"YES","no")</f>
        <v>no</v>
      </c>
    </row>
    <row r="295" customFormat="false" ht="15" hidden="false" customHeight="false" outlineLevel="0" collapsed="false">
      <c r="A295" s="4" t="s">
        <v>399</v>
      </c>
      <c r="B295" s="4"/>
      <c r="C295" s="4" t="s">
        <v>72</v>
      </c>
      <c r="D295" s="8" t="n">
        <v>176.06648</v>
      </c>
      <c r="E295" s="9" t="n">
        <v>10.275</v>
      </c>
      <c r="F295" s="10" t="n">
        <v>95274.0429815293</v>
      </c>
      <c r="G295" s="10" t="n">
        <v>32245.0258591007</v>
      </c>
      <c r="H295" s="10" t="n">
        <v>84566.2089606838</v>
      </c>
      <c r="I295" s="10" t="n">
        <v>40079.7938168417</v>
      </c>
      <c r="J295" s="10" t="n">
        <v>89920.1259711066</v>
      </c>
      <c r="K295" s="11" t="n">
        <v>0.88761016447133</v>
      </c>
      <c r="L295" s="11" t="n">
        <v>-0.172001906229841</v>
      </c>
      <c r="M295" s="11" t="n">
        <v>0.159183570710211</v>
      </c>
      <c r="N295" s="11" t="n">
        <v>0.0333125935896147</v>
      </c>
      <c r="O295" s="12" t="n">
        <v>0.621693913578414</v>
      </c>
      <c r="P295" s="12" t="n">
        <v>0.733842619557265</v>
      </c>
      <c r="Q295" s="4" t="n">
        <f aca="false">RANK(N295,$N$7:$N$307,0)</f>
        <v>289</v>
      </c>
      <c r="R295" s="4" t="n">
        <f aca="false">RANK(O295,$O$7:$O$307,1)</f>
        <v>255</v>
      </c>
      <c r="S295" s="4" t="n">
        <f aca="false">RANK(J295,$J$7:$J$307,0)</f>
        <v>279</v>
      </c>
      <c r="T295" s="4" t="str">
        <f aca="false">IF(O295&lt;0.05,"YES","no")</f>
        <v>no</v>
      </c>
      <c r="U295" s="4" t="str">
        <f aca="false">IF(P295&lt;0.05,"YES","no")</f>
        <v>no</v>
      </c>
      <c r="V295" s="4" t="str">
        <f aca="false">IF(N295&gt;1,"YES","no")</f>
        <v>no</v>
      </c>
    </row>
    <row r="296" customFormat="false" ht="15" hidden="false" customHeight="false" outlineLevel="0" collapsed="false">
      <c r="A296" s="4" t="s">
        <v>400</v>
      </c>
      <c r="B296" s="4"/>
      <c r="C296" s="4" t="s">
        <v>72</v>
      </c>
      <c r="D296" s="8" t="n">
        <v>209.06786</v>
      </c>
      <c r="E296" s="9" t="n">
        <v>4.923</v>
      </c>
      <c r="F296" s="10" t="n">
        <v>29056.1246499325</v>
      </c>
      <c r="G296" s="10" t="n">
        <v>17528.9882519976</v>
      </c>
      <c r="H296" s="10" t="n">
        <v>36095.8222361964</v>
      </c>
      <c r="I296" s="10" t="n">
        <v>31866.5735607942</v>
      </c>
      <c r="J296" s="10" t="n">
        <v>32575.9734430645</v>
      </c>
      <c r="K296" s="11" t="n">
        <v>1.24227930156131</v>
      </c>
      <c r="L296" s="11" t="n">
        <v>0.312989571043699</v>
      </c>
      <c r="M296" s="11" t="n">
        <v>0.148273817127293</v>
      </c>
      <c r="N296" s="11" t="n">
        <v>0.030570133747769</v>
      </c>
      <c r="O296" s="12" t="n">
        <v>0.648445171141679</v>
      </c>
      <c r="P296" s="12" t="n">
        <v>0.756519366331958</v>
      </c>
      <c r="Q296" s="4" t="n">
        <f aca="false">RANK(N296,$N$7:$N$307,0)</f>
        <v>290</v>
      </c>
      <c r="R296" s="4" t="n">
        <f aca="false">RANK(O296,$O$7:$O$307,1)</f>
        <v>258</v>
      </c>
      <c r="S296" s="4" t="n">
        <f aca="false">RANK(J296,$J$7:$J$307,0)</f>
        <v>295</v>
      </c>
      <c r="T296" s="4" t="str">
        <f aca="false">IF(O296&lt;0.05,"YES","no")</f>
        <v>no</v>
      </c>
      <c r="U296" s="4" t="str">
        <f aca="false">IF(P296&lt;0.05,"YES","no")</f>
        <v>no</v>
      </c>
      <c r="V296" s="4" t="str">
        <f aca="false">IF(N296&gt;1,"YES","no")</f>
        <v>no</v>
      </c>
    </row>
    <row r="297" customFormat="false" ht="15" hidden="false" customHeight="false" outlineLevel="0" collapsed="false">
      <c r="A297" s="4" t="s">
        <v>401</v>
      </c>
      <c r="B297" s="4" t="s">
        <v>402</v>
      </c>
      <c r="C297" s="4" t="s">
        <v>61</v>
      </c>
      <c r="D297" s="8" t="n">
        <v>335.06412</v>
      </c>
      <c r="E297" s="9" t="n">
        <v>10.639</v>
      </c>
      <c r="F297" s="10" t="n">
        <v>35108.0937656197</v>
      </c>
      <c r="G297" s="10" t="n">
        <v>15677.2790680317</v>
      </c>
      <c r="H297" s="10" t="n">
        <v>33861.4003851465</v>
      </c>
      <c r="I297" s="10" t="n">
        <v>6096.02627073953</v>
      </c>
      <c r="J297" s="10" t="n">
        <v>34484.7470753831</v>
      </c>
      <c r="K297" s="11" t="n">
        <v>0.964489858412818</v>
      </c>
      <c r="L297" s="11" t="n">
        <v>-0.0521620264361639</v>
      </c>
      <c r="M297" s="11" t="n">
        <v>0.0573158372792276</v>
      </c>
      <c r="N297" s="11" t="n">
        <v>0.028819167917135</v>
      </c>
      <c r="O297" s="12" t="n">
        <v>0.8614867290656</v>
      </c>
      <c r="P297" s="12" t="n">
        <v>0.909850896311388</v>
      </c>
      <c r="Q297" s="4" t="n">
        <f aca="false">RANK(N297,$N$7:$N$307,0)</f>
        <v>291</v>
      </c>
      <c r="R297" s="4" t="n">
        <f aca="false">RANK(O297,$O$7:$O$307,1)</f>
        <v>285</v>
      </c>
      <c r="S297" s="4" t="n">
        <f aca="false">RANK(J297,$J$7:$J$307,0)</f>
        <v>294</v>
      </c>
      <c r="T297" s="4" t="str">
        <f aca="false">IF(O297&lt;0.05,"YES","no")</f>
        <v>no</v>
      </c>
      <c r="U297" s="4" t="str">
        <f aca="false">IF(P297&lt;0.05,"YES","no")</f>
        <v>no</v>
      </c>
      <c r="V297" s="4" t="str">
        <f aca="false">IF(N297&gt;1,"YES","no")</f>
        <v>no</v>
      </c>
    </row>
    <row r="298" customFormat="false" ht="15" hidden="false" customHeight="false" outlineLevel="0" collapsed="false">
      <c r="A298" s="4" t="s">
        <v>403</v>
      </c>
      <c r="B298" s="4"/>
      <c r="C298" s="4" t="s">
        <v>72</v>
      </c>
      <c r="D298" s="8" t="n">
        <v>159.07763</v>
      </c>
      <c r="E298" s="9" t="n">
        <v>8.636</v>
      </c>
      <c r="F298" s="10" t="n">
        <v>17676.4322765646</v>
      </c>
      <c r="G298" s="10" t="n">
        <v>11641.6702954367</v>
      </c>
      <c r="H298" s="10" t="n">
        <v>20748.2247304655</v>
      </c>
      <c r="I298" s="10" t="n">
        <v>10470.3366163198</v>
      </c>
      <c r="J298" s="10" t="n">
        <v>19212.3285035151</v>
      </c>
      <c r="K298" s="11" t="n">
        <v>1.17377898468649</v>
      </c>
      <c r="L298" s="11" t="n">
        <v>0.231160783478342</v>
      </c>
      <c r="M298" s="11" t="n">
        <v>0.150240894347404</v>
      </c>
      <c r="N298" s="11" t="n">
        <v>0.027607530686498</v>
      </c>
      <c r="O298" s="12" t="n">
        <v>0.641283889478012</v>
      </c>
      <c r="P298" s="12" t="n">
        <v>0.751075683785531</v>
      </c>
      <c r="Q298" s="4" t="n">
        <f aca="false">RANK(N298,$N$7:$N$307,0)</f>
        <v>292</v>
      </c>
      <c r="R298" s="4" t="n">
        <f aca="false">RANK(O298,$O$7:$O$307,1)</f>
        <v>257</v>
      </c>
      <c r="S298" s="4" t="n">
        <f aca="false">RANK(J298,$J$7:$J$307,0)</f>
        <v>300</v>
      </c>
      <c r="T298" s="4" t="str">
        <f aca="false">IF(O298&lt;0.05,"YES","no")</f>
        <v>no</v>
      </c>
      <c r="U298" s="4" t="str">
        <f aca="false">IF(P298&lt;0.05,"YES","no")</f>
        <v>no</v>
      </c>
      <c r="V298" s="4" t="str">
        <f aca="false">IF(N298&gt;1,"YES","no")</f>
        <v>no</v>
      </c>
    </row>
    <row r="299" customFormat="false" ht="15" hidden="false" customHeight="false" outlineLevel="0" collapsed="false">
      <c r="A299" s="4" t="s">
        <v>404</v>
      </c>
      <c r="B299" s="4"/>
      <c r="C299" s="4" t="s">
        <v>72</v>
      </c>
      <c r="D299" s="8" t="n">
        <v>243.02641</v>
      </c>
      <c r="E299" s="9" t="n">
        <v>9.682</v>
      </c>
      <c r="F299" s="10" t="n">
        <v>126836.206002105</v>
      </c>
      <c r="G299" s="10" t="n">
        <v>38206.3999951456</v>
      </c>
      <c r="H299" s="10" t="n">
        <v>141657.744993624</v>
      </c>
      <c r="I299" s="10" t="n">
        <v>40331.651910366</v>
      </c>
      <c r="J299" s="10" t="n">
        <v>134246.975497864</v>
      </c>
      <c r="K299" s="11" t="n">
        <v>1.11685574221034</v>
      </c>
      <c r="L299" s="11" t="n">
        <v>0.159442853289442</v>
      </c>
      <c r="M299" s="11" t="n">
        <v>0.202378278877884</v>
      </c>
      <c r="N299" s="11" t="n">
        <v>0.0274596861621696</v>
      </c>
      <c r="O299" s="12" t="n">
        <v>0.528216417493628</v>
      </c>
      <c r="P299" s="12" t="n">
        <v>0.670559155578026</v>
      </c>
      <c r="Q299" s="4" t="n">
        <f aca="false">RANK(N299,$N$7:$N$307,0)</f>
        <v>293</v>
      </c>
      <c r="R299" s="4" t="n">
        <f aca="false">RANK(O299,$O$7:$O$307,1)</f>
        <v>237</v>
      </c>
      <c r="S299" s="4" t="n">
        <f aca="false">RANK(J299,$J$7:$J$307,0)</f>
        <v>268</v>
      </c>
      <c r="T299" s="4" t="str">
        <f aca="false">IF(O299&lt;0.05,"YES","no")</f>
        <v>no</v>
      </c>
      <c r="U299" s="4" t="str">
        <f aca="false">IF(P299&lt;0.05,"YES","no")</f>
        <v>no</v>
      </c>
      <c r="V299" s="4" t="str">
        <f aca="false">IF(N299&gt;1,"YES","no")</f>
        <v>no</v>
      </c>
    </row>
    <row r="300" customFormat="false" ht="15" hidden="false" customHeight="false" outlineLevel="0" collapsed="false">
      <c r="A300" s="4" t="s">
        <v>405</v>
      </c>
      <c r="B300" s="4"/>
      <c r="C300" s="4" t="s">
        <v>72</v>
      </c>
      <c r="D300" s="8" t="n">
        <v>202.05104</v>
      </c>
      <c r="E300" s="9" t="n">
        <v>5.016</v>
      </c>
      <c r="F300" s="10" t="n">
        <v>40063.8707956834</v>
      </c>
      <c r="G300" s="10" t="n">
        <v>13341.0303177947</v>
      </c>
      <c r="H300" s="10" t="n">
        <v>53357.8743353955</v>
      </c>
      <c r="I300" s="10" t="n">
        <v>15440.8540405915</v>
      </c>
      <c r="J300" s="10" t="n">
        <v>46710.8725655395</v>
      </c>
      <c r="K300" s="11" t="n">
        <v>1.33182024791135</v>
      </c>
      <c r="L300" s="11" t="n">
        <v>0.413399378995927</v>
      </c>
      <c r="M300" s="11" t="n">
        <v>0.450518501247507</v>
      </c>
      <c r="N300" s="11" t="n">
        <v>0.0260481359011931</v>
      </c>
      <c r="O300" s="12" t="n">
        <v>0.142262967647452</v>
      </c>
      <c r="P300" s="12" t="n">
        <v>0.287390290348207</v>
      </c>
      <c r="Q300" s="4" t="n">
        <f aca="false">RANK(N300,$N$7:$N$307,0)</f>
        <v>294</v>
      </c>
      <c r="R300" s="4" t="n">
        <f aca="false">RANK(O300,$O$7:$O$307,1)</f>
        <v>149</v>
      </c>
      <c r="S300" s="4" t="n">
        <f aca="false">RANK(J300,$J$7:$J$307,0)</f>
        <v>291</v>
      </c>
      <c r="T300" s="4" t="str">
        <f aca="false">IF(O300&lt;0.05,"YES","no")</f>
        <v>no</v>
      </c>
      <c r="U300" s="4" t="str">
        <f aca="false">IF(P300&lt;0.05,"YES","no")</f>
        <v>no</v>
      </c>
      <c r="V300" s="4" t="str">
        <f aca="false">IF(N300&gt;1,"YES","no")</f>
        <v>no</v>
      </c>
    </row>
    <row r="301" customFormat="false" ht="15" hidden="false" customHeight="false" outlineLevel="0" collapsed="false">
      <c r="A301" s="4" t="s">
        <v>406</v>
      </c>
      <c r="B301" s="4"/>
      <c r="C301" s="4" t="s">
        <v>72</v>
      </c>
      <c r="D301" s="8" t="n">
        <v>185.0809</v>
      </c>
      <c r="E301" s="9" t="n">
        <v>6.797</v>
      </c>
      <c r="F301" s="10" t="n">
        <v>117945.305619789</v>
      </c>
      <c r="G301" s="10" t="n">
        <v>48513.8586096354</v>
      </c>
      <c r="H301" s="10" t="n">
        <v>132693.686936349</v>
      </c>
      <c r="I301" s="10" t="n">
        <v>50299.2890463408</v>
      </c>
      <c r="J301" s="10" t="n">
        <v>125319.496278069</v>
      </c>
      <c r="K301" s="11" t="n">
        <v>1.12504424181241</v>
      </c>
      <c r="L301" s="11" t="n">
        <v>0.169981735831962</v>
      </c>
      <c r="M301" s="11" t="n">
        <v>0.16133275232456</v>
      </c>
      <c r="N301" s="11" t="n">
        <v>0.0252359042261382</v>
      </c>
      <c r="O301" s="12" t="n">
        <v>0.61644444721273</v>
      </c>
      <c r="P301" s="12" t="n">
        <v>0.730510939413511</v>
      </c>
      <c r="Q301" s="4" t="n">
        <f aca="false">RANK(N301,$N$7:$N$307,0)</f>
        <v>295</v>
      </c>
      <c r="R301" s="4" t="n">
        <f aca="false">RANK(O301,$O$7:$O$307,1)</f>
        <v>254</v>
      </c>
      <c r="S301" s="4" t="n">
        <f aca="false">RANK(J301,$J$7:$J$307,0)</f>
        <v>270</v>
      </c>
      <c r="T301" s="4" t="str">
        <f aca="false">IF(O301&lt;0.05,"YES","no")</f>
        <v>no</v>
      </c>
      <c r="U301" s="4" t="str">
        <f aca="false">IF(P301&lt;0.05,"YES","no")</f>
        <v>no</v>
      </c>
      <c r="V301" s="4" t="str">
        <f aca="false">IF(N301&gt;1,"YES","no")</f>
        <v>no</v>
      </c>
    </row>
    <row r="302" customFormat="false" ht="15" hidden="false" customHeight="false" outlineLevel="0" collapsed="false">
      <c r="A302" s="4" t="s">
        <v>407</v>
      </c>
      <c r="B302" s="4"/>
      <c r="C302" s="4" t="s">
        <v>72</v>
      </c>
      <c r="D302" s="8" t="n">
        <v>316.24812</v>
      </c>
      <c r="E302" s="9" t="n">
        <v>6.846</v>
      </c>
      <c r="F302" s="10" t="n">
        <v>148710.155287589</v>
      </c>
      <c r="G302" s="10" t="n">
        <v>110550.248452864</v>
      </c>
      <c r="H302" s="10" t="n">
        <v>147694.598363054</v>
      </c>
      <c r="I302" s="10" t="n">
        <v>49107.1665666645</v>
      </c>
      <c r="J302" s="10" t="n">
        <v>148202.376825321</v>
      </c>
      <c r="K302" s="11" t="n">
        <v>0.993170897289627</v>
      </c>
      <c r="L302" s="11" t="n">
        <v>-0.00988610778972904</v>
      </c>
      <c r="M302" s="11" t="n">
        <v>0.00650288297460772</v>
      </c>
      <c r="N302" s="11" t="n">
        <v>0.0233890983072804</v>
      </c>
      <c r="O302" s="12" t="n">
        <v>0.98417524808264</v>
      </c>
      <c r="P302" s="12" t="n">
        <v>0.990758360109949</v>
      </c>
      <c r="Q302" s="4" t="n">
        <f aca="false">RANK(N302,$N$7:$N$307,0)</f>
        <v>296</v>
      </c>
      <c r="R302" s="4" t="n">
        <f aca="false">RANK(O302,$O$7:$O$307,1)</f>
        <v>299</v>
      </c>
      <c r="S302" s="4" t="n">
        <f aca="false">RANK(J302,$J$7:$J$307,0)</f>
        <v>262</v>
      </c>
      <c r="T302" s="4" t="str">
        <f aca="false">IF(O302&lt;0.05,"YES","no")</f>
        <v>no</v>
      </c>
      <c r="U302" s="4" t="str">
        <f aca="false">IF(P302&lt;0.05,"YES","no")</f>
        <v>no</v>
      </c>
      <c r="V302" s="4" t="str">
        <f aca="false">IF(N302&gt;1,"YES","no")</f>
        <v>no</v>
      </c>
    </row>
    <row r="303" customFormat="false" ht="15" hidden="false" customHeight="false" outlineLevel="0" collapsed="false">
      <c r="A303" s="4" t="s">
        <v>408</v>
      </c>
      <c r="B303" s="4"/>
      <c r="C303" s="4" t="s">
        <v>72</v>
      </c>
      <c r="D303" s="8" t="n">
        <v>241.07306</v>
      </c>
      <c r="E303" s="9" t="n">
        <v>5.008</v>
      </c>
      <c r="F303" s="10" t="n">
        <v>116333.867087938</v>
      </c>
      <c r="G303" s="10" t="n">
        <v>32122.5392066094</v>
      </c>
      <c r="H303" s="10" t="n">
        <v>111484.859309644</v>
      </c>
      <c r="I303" s="10" t="n">
        <v>31903.7285109438</v>
      </c>
      <c r="J303" s="10" t="n">
        <v>113909.363198791</v>
      </c>
      <c r="K303" s="11" t="n">
        <v>0.958318175956197</v>
      </c>
      <c r="L303" s="11" t="n">
        <v>-0.0614233630771117</v>
      </c>
      <c r="M303" s="11" t="n">
        <v>0.082678638999285</v>
      </c>
      <c r="N303" s="11" t="n">
        <v>0.0179289432824644</v>
      </c>
      <c r="O303" s="12" t="n">
        <v>0.79837637738022</v>
      </c>
      <c r="P303" s="12" t="n">
        <v>0.870693078229878</v>
      </c>
      <c r="Q303" s="4" t="n">
        <f aca="false">RANK(N303,$N$7:$N$307,0)</f>
        <v>297</v>
      </c>
      <c r="R303" s="4" t="n">
        <f aca="false">RANK(O303,$O$7:$O$307,1)</f>
        <v>276</v>
      </c>
      <c r="S303" s="4" t="n">
        <f aca="false">RANK(J303,$J$7:$J$307,0)</f>
        <v>272</v>
      </c>
      <c r="T303" s="4" t="str">
        <f aca="false">IF(O303&lt;0.05,"YES","no")</f>
        <v>no</v>
      </c>
      <c r="U303" s="4" t="str">
        <f aca="false">IF(P303&lt;0.05,"YES","no")</f>
        <v>no</v>
      </c>
      <c r="V303" s="4" t="str">
        <f aca="false">IF(N303&gt;1,"YES","no")</f>
        <v>no</v>
      </c>
    </row>
    <row r="304" customFormat="false" ht="15" hidden="false" customHeight="false" outlineLevel="0" collapsed="false">
      <c r="A304" s="4" t="s">
        <v>409</v>
      </c>
      <c r="B304" s="4"/>
      <c r="C304" s="4" t="s">
        <v>72</v>
      </c>
      <c r="D304" s="8" t="n">
        <v>352.16568</v>
      </c>
      <c r="E304" s="9" t="n">
        <v>4.718</v>
      </c>
      <c r="F304" s="10" t="n">
        <v>23121.341256875</v>
      </c>
      <c r="G304" s="10" t="n">
        <v>5453.49640512459</v>
      </c>
      <c r="H304" s="10" t="n">
        <v>27863.4259116146</v>
      </c>
      <c r="I304" s="10" t="n">
        <v>6420.27373352537</v>
      </c>
      <c r="J304" s="10" t="n">
        <v>25492.3835842448</v>
      </c>
      <c r="K304" s="11" t="n">
        <v>1.20509556958897</v>
      </c>
      <c r="L304" s="11" t="n">
        <v>0.269147563305649</v>
      </c>
      <c r="M304" s="11" t="n">
        <v>0.399703080289145</v>
      </c>
      <c r="N304" s="11" t="n">
        <v>0.017035765312538</v>
      </c>
      <c r="O304" s="12" t="n">
        <v>0.198746452887236</v>
      </c>
      <c r="P304" s="12" t="n">
        <v>0.362561711024595</v>
      </c>
      <c r="Q304" s="4" t="n">
        <f aca="false">RANK(N304,$N$7:$N$307,0)</f>
        <v>298</v>
      </c>
      <c r="R304" s="4" t="n">
        <f aca="false">RANK(O304,$O$7:$O$307,1)</f>
        <v>165</v>
      </c>
      <c r="S304" s="4" t="n">
        <f aca="false">RANK(J304,$J$7:$J$307,0)</f>
        <v>298</v>
      </c>
      <c r="T304" s="4" t="str">
        <f aca="false">IF(O304&lt;0.05,"YES","no")</f>
        <v>no</v>
      </c>
      <c r="U304" s="4" t="str">
        <f aca="false">IF(P304&lt;0.05,"YES","no")</f>
        <v>no</v>
      </c>
      <c r="V304" s="4" t="str">
        <f aca="false">IF(N304&gt;1,"YES","no")</f>
        <v>no</v>
      </c>
    </row>
    <row r="305" customFormat="false" ht="15" hidden="false" customHeight="false" outlineLevel="0" collapsed="false">
      <c r="A305" s="4" t="s">
        <v>410</v>
      </c>
      <c r="B305" s="4" t="s">
        <v>411</v>
      </c>
      <c r="C305" s="4" t="s">
        <v>72</v>
      </c>
      <c r="D305" s="8" t="n">
        <v>542.06863</v>
      </c>
      <c r="E305" s="9" t="n">
        <v>8.412</v>
      </c>
      <c r="F305" s="10" t="n">
        <v>20438.6646033433</v>
      </c>
      <c r="G305" s="10" t="n">
        <v>4529.35562672063</v>
      </c>
      <c r="H305" s="10" t="n">
        <v>18357.2575438177</v>
      </c>
      <c r="I305" s="10" t="n">
        <v>2244.20628141038</v>
      </c>
      <c r="J305" s="10" t="n">
        <v>19397.9610735805</v>
      </c>
      <c r="K305" s="11" t="n">
        <v>0.898163255774296</v>
      </c>
      <c r="L305" s="11" t="n">
        <v>-0.154950392806099</v>
      </c>
      <c r="M305" s="11" t="n">
        <v>0.303869198580917</v>
      </c>
      <c r="N305" s="11" t="n">
        <v>0.0169387133024923</v>
      </c>
      <c r="O305" s="12" t="n">
        <v>0.345351576056369</v>
      </c>
      <c r="P305" s="12" t="n">
        <v>0.520792259821401</v>
      </c>
      <c r="Q305" s="4" t="n">
        <f aca="false">RANK(N305,$N$7:$N$307,0)</f>
        <v>299</v>
      </c>
      <c r="R305" s="4" t="n">
        <f aca="false">RANK(O305,$O$7:$O$307,1)</f>
        <v>199</v>
      </c>
      <c r="S305" s="4" t="n">
        <f aca="false">RANK(J305,$J$7:$J$307,0)</f>
        <v>299</v>
      </c>
      <c r="T305" s="4" t="str">
        <f aca="false">IF(O305&lt;0.05,"YES","no")</f>
        <v>no</v>
      </c>
      <c r="U305" s="4" t="str">
        <f aca="false">IF(P305&lt;0.05,"YES","no")</f>
        <v>no</v>
      </c>
      <c r="V305" s="4" t="str">
        <f aca="false">IF(N305&gt;1,"YES","no")</f>
        <v>no</v>
      </c>
    </row>
    <row r="306" customFormat="false" ht="15" hidden="false" customHeight="false" outlineLevel="0" collapsed="false">
      <c r="A306" s="4" t="s">
        <v>412</v>
      </c>
      <c r="B306" s="4"/>
      <c r="C306" s="4" t="s">
        <v>72</v>
      </c>
      <c r="D306" s="8" t="n">
        <v>219.0986</v>
      </c>
      <c r="E306" s="9" t="n">
        <v>8.148</v>
      </c>
      <c r="F306" s="10" t="n">
        <v>12139.3766687264</v>
      </c>
      <c r="G306" s="10" t="n">
        <v>4282.91752755544</v>
      </c>
      <c r="H306" s="10" t="n">
        <v>15942.9803892948</v>
      </c>
      <c r="I306" s="10" t="n">
        <v>6336.62826325182</v>
      </c>
      <c r="J306" s="10" t="n">
        <v>14041.1785290106</v>
      </c>
      <c r="K306" s="11" t="n">
        <v>1.3133277617431</v>
      </c>
      <c r="L306" s="11" t="n">
        <v>0.393227008562539</v>
      </c>
      <c r="M306" s="11" t="n">
        <v>0.35946914371793</v>
      </c>
      <c r="N306" s="11" t="n">
        <v>0.016236952804123</v>
      </c>
      <c r="O306" s="12" t="n">
        <v>0.254882806817633</v>
      </c>
      <c r="P306" s="12" t="n">
        <v>0.419680398603548</v>
      </c>
      <c r="Q306" s="4" t="n">
        <f aca="false">RANK(N306,$N$7:$N$307,0)</f>
        <v>300</v>
      </c>
      <c r="R306" s="4" t="n">
        <f aca="false">RANK(O306,$O$7:$O$307,1)</f>
        <v>181</v>
      </c>
      <c r="S306" s="4" t="n">
        <f aca="false">RANK(J306,$J$7:$J$307,0)</f>
        <v>301</v>
      </c>
      <c r="T306" s="4" t="str">
        <f aca="false">IF(O306&lt;0.05,"YES","no")</f>
        <v>no</v>
      </c>
      <c r="U306" s="4" t="str">
        <f aca="false">IF(P306&lt;0.05,"YES","no")</f>
        <v>no</v>
      </c>
      <c r="V306" s="4" t="str">
        <f aca="false">IF(N306&gt;1,"YES","no")</f>
        <v>no</v>
      </c>
    </row>
    <row r="307" customFormat="false" ht="15" hidden="false" customHeight="false" outlineLevel="0" collapsed="false">
      <c r="A307" s="4" t="s">
        <v>413</v>
      </c>
      <c r="B307" s="4"/>
      <c r="C307" s="4" t="s">
        <v>72</v>
      </c>
      <c r="D307" s="8" t="n">
        <v>227.0674</v>
      </c>
      <c r="E307" s="9" t="n">
        <v>7.495</v>
      </c>
      <c r="F307" s="10" t="n">
        <v>137566.893219853</v>
      </c>
      <c r="G307" s="10" t="n">
        <v>82529.1450838121</v>
      </c>
      <c r="H307" s="10" t="n">
        <v>135416.251648571</v>
      </c>
      <c r="I307" s="10" t="n">
        <v>79144.6183410893</v>
      </c>
      <c r="J307" s="10" t="n">
        <v>136491.572434212</v>
      </c>
      <c r="K307" s="11" t="n">
        <v>0.984366575991182</v>
      </c>
      <c r="L307" s="11" t="n">
        <v>-0.0227324227377965</v>
      </c>
      <c r="M307" s="11" t="n">
        <v>0.0145672604135648</v>
      </c>
      <c r="N307" s="11" t="n">
        <v>0.00307402988204034</v>
      </c>
      <c r="O307" s="12" t="n">
        <v>0.964162587516005</v>
      </c>
      <c r="P307" s="12" t="n">
        <v>0.980449117710532</v>
      </c>
      <c r="Q307" s="4" t="n">
        <f aca="false">RANK(N307,$N$7:$N$307,0)</f>
        <v>301</v>
      </c>
      <c r="R307" s="4" t="n">
        <f aca="false">RANK(O307,$O$7:$O$307,1)</f>
        <v>296</v>
      </c>
      <c r="S307" s="4" t="n">
        <f aca="false">RANK(J307,$J$7:$J$307,0)</f>
        <v>267</v>
      </c>
      <c r="T307" s="4" t="str">
        <f aca="false">IF(O307&lt;0.05,"YES","no")</f>
        <v>no</v>
      </c>
      <c r="U307" s="4" t="str">
        <f aca="false">IF(P307&lt;0.05,"YES","no")</f>
        <v>no</v>
      </c>
      <c r="V307" s="4" t="str">
        <f aca="false">IF(N307&gt;1,"YES","no")</f>
        <v>no</v>
      </c>
    </row>
  </sheetData>
  <autoFilter ref="A6:V307"/>
  <conditionalFormatting sqref="O7:O307">
    <cfRule type="cellIs" priority="2" operator="lessThan" aboveAverage="0" equalAverage="0" bottom="0" percent="0" rank="0" text="" dxfId="5">
      <formula>0.05</formula>
    </cfRule>
  </conditionalFormatting>
  <conditionalFormatting sqref="P7:P307">
    <cfRule type="cellIs" priority="3" operator="lessThan" aboveAverage="0" equalAverage="0" bottom="0" percent="0" rank="0" text="" dxfId="6">
      <formula>0.05</formula>
    </cfRule>
  </conditionalFormatting>
  <conditionalFormatting sqref="N7:N307">
    <cfRule type="cellIs" priority="4" operator="greater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9" min="17" style="0" width="11"/>
    <col collapsed="false" customWidth="true" hidden="false" outlineLevel="0" max="21" min="20" style="0" width="12"/>
    <col collapsed="false" customWidth="true" hidden="false" outlineLevel="0" max="22" min="22" style="0" width="9"/>
  </cols>
  <sheetData>
    <row r="1" customFormat="false" ht="15" hidden="false" customHeight="false" outlineLevel="0" collapsed="false">
      <c r="A1" s="6" t="s">
        <v>414</v>
      </c>
    </row>
    <row r="2" customFormat="false" ht="15" hidden="false" customHeight="false" outlineLevel="0" collapsed="false">
      <c r="A2" s="2" t="s">
        <v>415</v>
      </c>
    </row>
    <row r="3" customFormat="false" ht="15" hidden="false" customHeight="false" outlineLevel="0" collapsed="false">
      <c r="A3" s="2" t="s">
        <v>416</v>
      </c>
    </row>
    <row r="4" customFormat="false" ht="15" hidden="false" customHeight="false" outlineLevel="0" collapsed="false">
      <c r="A4" s="2" t="s">
        <v>37</v>
      </c>
    </row>
    <row r="6" customFormat="false" ht="35.0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417</v>
      </c>
      <c r="I6" s="7" t="s">
        <v>418</v>
      </c>
      <c r="J6" s="7" t="s">
        <v>47</v>
      </c>
      <c r="K6" s="7" t="s">
        <v>48</v>
      </c>
      <c r="L6" s="7" t="s">
        <v>49</v>
      </c>
      <c r="M6" s="7" t="s">
        <v>50</v>
      </c>
      <c r="N6" s="7" t="s">
        <v>51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58</v>
      </c>
      <c r="V6" s="7" t="s">
        <v>10</v>
      </c>
    </row>
    <row r="7" customFormat="false" ht="15" hidden="false" customHeight="false" outlineLevel="0" collapsed="false">
      <c r="A7" s="4" t="s">
        <v>65</v>
      </c>
      <c r="B7" s="4"/>
      <c r="C7" s="4" t="s">
        <v>61</v>
      </c>
      <c r="D7" s="8" t="n">
        <v>118.08616</v>
      </c>
      <c r="E7" s="9" t="n">
        <v>10.135</v>
      </c>
      <c r="F7" s="10" t="n">
        <v>1601363877.76783</v>
      </c>
      <c r="G7" s="10" t="n">
        <v>98521385.0874937</v>
      </c>
      <c r="H7" s="10" t="n">
        <v>2276706293.78296</v>
      </c>
      <c r="I7" s="10" t="n">
        <v>214304989.863758</v>
      </c>
      <c r="J7" s="10" t="n">
        <v>1908337703.22925</v>
      </c>
      <c r="K7" s="11" t="n">
        <v>1.42172951781359</v>
      </c>
      <c r="L7" s="11" t="n">
        <v>0.507647020213047</v>
      </c>
      <c r="M7" s="11" t="n">
        <v>0.917969888806995</v>
      </c>
      <c r="N7" s="11" t="n">
        <v>8.218272195858</v>
      </c>
      <c r="O7" s="12" t="n">
        <v>0.000960215400866033</v>
      </c>
      <c r="P7" s="12" t="n">
        <v>0.147180205171976</v>
      </c>
      <c r="Q7" s="4" t="n">
        <f aca="false">RANK(N7,$N$7:$N$307,0)</f>
        <v>1</v>
      </c>
      <c r="R7" s="4" t="n">
        <f aca="false">RANK(O7,$O$7:$O$307,1)</f>
        <v>1</v>
      </c>
      <c r="S7" s="4" t="n">
        <f aca="false">RANK(J7,$J$7:$J$307,0)</f>
        <v>4</v>
      </c>
      <c r="T7" s="4" t="str">
        <f aca="false">IF(O7&lt;0.05,"YES","no")</f>
        <v>YES</v>
      </c>
      <c r="U7" s="4" t="str">
        <f aca="false">IF(P7&lt;0.05,"YES","no")</f>
        <v>no</v>
      </c>
      <c r="V7" s="4" t="str">
        <f aca="false">IF(N7&gt;1,"YES","no")</f>
        <v>YES</v>
      </c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8" t="n">
        <v>132.07663</v>
      </c>
      <c r="E8" s="9" t="n">
        <v>11.358</v>
      </c>
      <c r="F8" s="10" t="n">
        <v>3437052306.61107</v>
      </c>
      <c r="G8" s="10" t="n">
        <v>847464573.817245</v>
      </c>
      <c r="H8" s="10" t="n">
        <v>2900916554.06094</v>
      </c>
      <c r="I8" s="10" t="n">
        <v>338436557.975121</v>
      </c>
      <c r="J8" s="10" t="n">
        <v>3193354237.2701</v>
      </c>
      <c r="K8" s="11" t="n">
        <v>0.844012920164501</v>
      </c>
      <c r="L8" s="11" t="n">
        <v>-0.244663010985017</v>
      </c>
      <c r="M8" s="11" t="n">
        <v>0.402742557908587</v>
      </c>
      <c r="N8" s="11" t="n">
        <v>4.78407856608686</v>
      </c>
      <c r="O8" s="12" t="n">
        <v>0.19995314491209</v>
      </c>
      <c r="P8" s="12" t="n">
        <v>0.545793274011047</v>
      </c>
      <c r="Q8" s="4" t="n">
        <f aca="false">RANK(N8,$N$7:$N$307,0)</f>
        <v>2</v>
      </c>
      <c r="R8" s="4" t="n">
        <f aca="false">RANK(O8,$O$7:$O$307,1)</f>
        <v>107</v>
      </c>
      <c r="S8" s="4" t="n">
        <f aca="false">RANK(J8,$J$7:$J$307,0)</f>
        <v>2</v>
      </c>
      <c r="T8" s="4" t="str">
        <f aca="false">IF(O8&lt;0.05,"YES","no")</f>
        <v>no</v>
      </c>
      <c r="U8" s="4" t="str">
        <f aca="false">IF(P8&lt;0.05,"YES","no")</f>
        <v>no</v>
      </c>
      <c r="V8" s="4" t="str">
        <f aca="false">IF(N8&gt;1,"YES","no")</f>
        <v>YES</v>
      </c>
    </row>
    <row r="9" customFormat="false" ht="15" hidden="false" customHeight="false" outlineLevel="0" collapsed="false">
      <c r="A9" s="4" t="s">
        <v>62</v>
      </c>
      <c r="B9" s="4" t="s">
        <v>63</v>
      </c>
      <c r="C9" s="4" t="s">
        <v>61</v>
      </c>
      <c r="D9" s="8" t="n">
        <v>162.11233</v>
      </c>
      <c r="E9" s="9" t="n">
        <v>11.266</v>
      </c>
      <c r="F9" s="10" t="n">
        <v>7345087630.60529</v>
      </c>
      <c r="G9" s="10" t="n">
        <v>1092700353.18983</v>
      </c>
      <c r="H9" s="10" t="n">
        <v>6645880631.14367</v>
      </c>
      <c r="I9" s="10" t="n">
        <v>1544857100.50109</v>
      </c>
      <c r="J9" s="10" t="n">
        <v>7027266267.21365</v>
      </c>
      <c r="K9" s="11" t="n">
        <v>0.904806173237718</v>
      </c>
      <c r="L9" s="11" t="n">
        <v>-0.144319322424064</v>
      </c>
      <c r="M9" s="11" t="n">
        <v>0.281303228814993</v>
      </c>
      <c r="N9" s="11" t="n">
        <v>4.62145964912218</v>
      </c>
      <c r="O9" s="12" t="n">
        <v>0.423133905009225</v>
      </c>
      <c r="P9" s="12" t="n">
        <v>0.665820888057596</v>
      </c>
      <c r="Q9" s="4" t="n">
        <f aca="false">RANK(N9,$N$7:$N$307,0)</f>
        <v>3</v>
      </c>
      <c r="R9" s="4" t="n">
        <f aca="false">RANK(O9,$O$7:$O$307,1)</f>
        <v>190</v>
      </c>
      <c r="S9" s="4" t="n">
        <f aca="false">RANK(J9,$J$7:$J$307,0)</f>
        <v>1</v>
      </c>
      <c r="T9" s="4" t="str">
        <f aca="false">IF(O9&lt;0.05,"YES","no")</f>
        <v>no</v>
      </c>
      <c r="U9" s="4" t="str">
        <f aca="false">IF(P9&lt;0.05,"YES","no")</f>
        <v>no</v>
      </c>
      <c r="V9" s="4" t="str">
        <f aca="false">IF(N9&gt;1,"YES","no")</f>
        <v>YES</v>
      </c>
    </row>
    <row r="10" customFormat="false" ht="15" hidden="false" customHeight="false" outlineLevel="0" collapsed="false">
      <c r="A10" s="4" t="s">
        <v>76</v>
      </c>
      <c r="B10" s="4"/>
      <c r="C10" s="4" t="s">
        <v>72</v>
      </c>
      <c r="D10" s="8" t="n">
        <v>160.13315</v>
      </c>
      <c r="E10" s="9" t="n">
        <v>12.211</v>
      </c>
      <c r="F10" s="10" t="n">
        <v>560630153.134254</v>
      </c>
      <c r="G10" s="10" t="n">
        <v>76103341.0984225</v>
      </c>
      <c r="H10" s="10" t="n">
        <v>838849849.039902</v>
      </c>
      <c r="I10" s="10" t="n">
        <v>212573890.75924</v>
      </c>
      <c r="J10" s="10" t="n">
        <v>687093651.273185</v>
      </c>
      <c r="K10" s="11" t="n">
        <v>1.49626245457943</v>
      </c>
      <c r="L10" s="11" t="n">
        <v>0.581363255914108</v>
      </c>
      <c r="M10" s="11" t="n">
        <v>0.708280842670403</v>
      </c>
      <c r="N10" s="11" t="n">
        <v>4.56982744519274</v>
      </c>
      <c r="O10" s="12" t="n">
        <v>0.0400830483103803</v>
      </c>
      <c r="P10" s="12" t="n">
        <v>0.402166584714149</v>
      </c>
      <c r="Q10" s="4" t="n">
        <f aca="false">RANK(N10,$N$7:$N$307,0)</f>
        <v>4</v>
      </c>
      <c r="R10" s="4" t="n">
        <f aca="false">RANK(O10,$O$7:$O$307,1)</f>
        <v>30</v>
      </c>
      <c r="S10" s="4" t="n">
        <f aca="false">RANK(J10,$J$7:$J$307,0)</f>
        <v>8</v>
      </c>
      <c r="T10" s="4" t="str">
        <f aca="false">IF(O10&lt;0.05,"YES","no")</f>
        <v>YES</v>
      </c>
      <c r="U10" s="4" t="str">
        <f aca="false">IF(P10&lt;0.05,"YES","no")</f>
        <v>no</v>
      </c>
      <c r="V10" s="4" t="str">
        <f aca="false">IF(N10&gt;1,"YES","no")</f>
        <v>YES</v>
      </c>
    </row>
    <row r="11" customFormat="false" ht="15" hidden="false" customHeight="false" outlineLevel="0" collapsed="false">
      <c r="A11" s="4" t="s">
        <v>86</v>
      </c>
      <c r="B11" s="4"/>
      <c r="C11" s="4" t="s">
        <v>72</v>
      </c>
      <c r="D11" s="8" t="n">
        <v>258.11003</v>
      </c>
      <c r="E11" s="9" t="n">
        <v>11.271</v>
      </c>
      <c r="F11" s="10" t="n">
        <v>608606354.765367</v>
      </c>
      <c r="G11" s="10" t="n">
        <v>131379905.690666</v>
      </c>
      <c r="H11" s="10" t="n">
        <v>382318949.485784</v>
      </c>
      <c r="I11" s="10" t="n">
        <v>65218991.6728079</v>
      </c>
      <c r="J11" s="10" t="n">
        <v>505748443.274647</v>
      </c>
      <c r="K11" s="11" t="n">
        <v>0.628187573942073</v>
      </c>
      <c r="L11" s="11" t="n">
        <v>-0.670732689289164</v>
      </c>
      <c r="M11" s="11" t="n">
        <v>0.75813787405186</v>
      </c>
      <c r="N11" s="11" t="n">
        <v>4.44747295327654</v>
      </c>
      <c r="O11" s="12" t="n">
        <v>0.00660662626271072</v>
      </c>
      <c r="P11" s="12" t="n">
        <v>0.195736467877902</v>
      </c>
      <c r="Q11" s="4" t="n">
        <f aca="false">RANK(N11,$N$7:$N$307,0)</f>
        <v>5</v>
      </c>
      <c r="R11" s="4" t="n">
        <f aca="false">RANK(O11,$O$7:$O$307,1)</f>
        <v>10</v>
      </c>
      <c r="S11" s="4" t="n">
        <f aca="false">RANK(J11,$J$7:$J$307,0)</f>
        <v>9</v>
      </c>
      <c r="T11" s="4" t="str">
        <f aca="false">IF(O11&lt;0.05,"YES","no")</f>
        <v>YES</v>
      </c>
      <c r="U11" s="4" t="str">
        <f aca="false">IF(P11&lt;0.05,"YES","no")</f>
        <v>no</v>
      </c>
      <c r="V11" s="4" t="str">
        <f aca="false">IF(N11&gt;1,"YES","no")</f>
        <v>YES</v>
      </c>
    </row>
    <row r="12" customFormat="false" ht="15" hidden="false" customHeight="false" outlineLevel="0" collapsed="false">
      <c r="A12" s="4" t="s">
        <v>64</v>
      </c>
      <c r="B12" s="4"/>
      <c r="C12" s="4" t="s">
        <v>61</v>
      </c>
      <c r="D12" s="8" t="n">
        <v>204.12298</v>
      </c>
      <c r="E12" s="9" t="n">
        <v>10.121</v>
      </c>
      <c r="F12" s="10" t="n">
        <v>2229889727.89939</v>
      </c>
      <c r="G12" s="10" t="n">
        <v>950941874.370466</v>
      </c>
      <c r="H12" s="10" t="n">
        <v>2341947055.2942</v>
      </c>
      <c r="I12" s="10" t="n">
        <v>1163236589.92773</v>
      </c>
      <c r="J12" s="10" t="n">
        <v>2280824876.71521</v>
      </c>
      <c r="K12" s="11" t="n">
        <v>1.05025240754859</v>
      </c>
      <c r="L12" s="11" t="n">
        <v>0.0707360929936034</v>
      </c>
      <c r="M12" s="11" t="n">
        <v>0.0586133716347675</v>
      </c>
      <c r="N12" s="11" t="n">
        <v>4.21502653870459</v>
      </c>
      <c r="O12" s="12" t="n">
        <v>0.867352368452793</v>
      </c>
      <c r="P12" s="12" t="n">
        <v>0.917857022947004</v>
      </c>
      <c r="Q12" s="4" t="n">
        <f aca="false">RANK(N12,$N$7:$N$307,0)</f>
        <v>6</v>
      </c>
      <c r="R12" s="4" t="n">
        <f aca="false">RANK(O12,$O$7:$O$307,1)</f>
        <v>284</v>
      </c>
      <c r="S12" s="4" t="n">
        <f aca="false">RANK(J12,$J$7:$J$307,0)</f>
        <v>3</v>
      </c>
      <c r="T12" s="4" t="str">
        <f aca="false">IF(O12&lt;0.05,"YES","no")</f>
        <v>no</v>
      </c>
      <c r="U12" s="4" t="str">
        <f aca="false">IF(P12&lt;0.05,"YES","no")</f>
        <v>no</v>
      </c>
      <c r="V12" s="4" t="str">
        <f aca="false">IF(N12&gt;1,"YES","no")</f>
        <v>YES</v>
      </c>
    </row>
    <row r="13" customFormat="false" ht="15" hidden="false" customHeight="false" outlineLevel="0" collapsed="false">
      <c r="A13" s="4" t="s">
        <v>67</v>
      </c>
      <c r="B13" s="4" t="s">
        <v>68</v>
      </c>
      <c r="C13" s="4" t="s">
        <v>61</v>
      </c>
      <c r="D13" s="8" t="n">
        <v>126.0218</v>
      </c>
      <c r="E13" s="9" t="n">
        <v>10.855</v>
      </c>
      <c r="F13" s="10" t="n">
        <v>865811550.434924</v>
      </c>
      <c r="G13" s="10" t="n">
        <v>157690592.071984</v>
      </c>
      <c r="H13" s="10" t="n">
        <v>1061279384.89635</v>
      </c>
      <c r="I13" s="10" t="n">
        <v>142472963.132284</v>
      </c>
      <c r="J13" s="10" t="n">
        <v>954660566.099206</v>
      </c>
      <c r="K13" s="11" t="n">
        <v>1.22576256272307</v>
      </c>
      <c r="L13" s="11" t="n">
        <v>0.293679547742622</v>
      </c>
      <c r="M13" s="11" t="n">
        <v>0.580028016626258</v>
      </c>
      <c r="N13" s="11" t="n">
        <v>3.4665827328036</v>
      </c>
      <c r="O13" s="12" t="n">
        <v>0.0595615715054783</v>
      </c>
      <c r="P13" s="12" t="n">
        <v>0.473393770420731</v>
      </c>
      <c r="Q13" s="4" t="n">
        <f aca="false">RANK(N13,$N$7:$N$307,0)</f>
        <v>7</v>
      </c>
      <c r="R13" s="4" t="n">
        <f aca="false">RANK(O13,$O$7:$O$307,1)</f>
        <v>36</v>
      </c>
      <c r="S13" s="4" t="n">
        <f aca="false">RANK(J13,$J$7:$J$307,0)</f>
        <v>5</v>
      </c>
      <c r="T13" s="4" t="str">
        <f aca="false">IF(O13&lt;0.05,"YES","no")</f>
        <v>no</v>
      </c>
      <c r="U13" s="4" t="str">
        <f aca="false">IF(P13&lt;0.05,"YES","no")</f>
        <v>no</v>
      </c>
      <c r="V13" s="4" t="str">
        <f aca="false">IF(N13&gt;1,"YES","no")</f>
        <v>YES</v>
      </c>
    </row>
    <row r="14" customFormat="false" ht="15" hidden="false" customHeight="false" outlineLevel="0" collapsed="false">
      <c r="A14" s="4" t="s">
        <v>69</v>
      </c>
      <c r="B14" s="4"/>
      <c r="C14" s="4" t="s">
        <v>61</v>
      </c>
      <c r="D14" s="8" t="n">
        <v>123.05518</v>
      </c>
      <c r="E14" s="9" t="n">
        <v>6.893</v>
      </c>
      <c r="F14" s="10" t="n">
        <v>646530747.518816</v>
      </c>
      <c r="G14" s="10" t="n">
        <v>49672714.0163147</v>
      </c>
      <c r="H14" s="10" t="n">
        <v>772902737.584048</v>
      </c>
      <c r="I14" s="10" t="n">
        <v>54990244.8662206</v>
      </c>
      <c r="J14" s="10" t="n">
        <v>703972561.184831</v>
      </c>
      <c r="K14" s="11" t="n">
        <v>1.19546168616142</v>
      </c>
      <c r="L14" s="11" t="n">
        <v>0.257567893269387</v>
      </c>
      <c r="M14" s="11" t="n">
        <v>0.800392020089256</v>
      </c>
      <c r="N14" s="11" t="n">
        <v>3.32341629379701</v>
      </c>
      <c r="O14" s="12" t="n">
        <v>0.0039107317517473</v>
      </c>
      <c r="P14" s="12" t="n">
        <v>0.147180205171976</v>
      </c>
      <c r="Q14" s="4" t="n">
        <f aca="false">RANK(N14,$N$7:$N$307,0)</f>
        <v>8</v>
      </c>
      <c r="R14" s="4" t="n">
        <f aca="false">RANK(O14,$O$7:$O$307,1)</f>
        <v>7</v>
      </c>
      <c r="S14" s="4" t="n">
        <f aca="false">RANK(J14,$J$7:$J$307,0)</f>
        <v>7</v>
      </c>
      <c r="T14" s="4" t="str">
        <f aca="false">IF(O14&lt;0.05,"YES","no")</f>
        <v>YES</v>
      </c>
      <c r="U14" s="4" t="str">
        <f aca="false">IF(P14&lt;0.05,"YES","no")</f>
        <v>no</v>
      </c>
      <c r="V14" s="4" t="str">
        <f aca="false">IF(N14&gt;1,"YES","no")</f>
        <v>YES</v>
      </c>
    </row>
    <row r="15" customFormat="false" ht="15" hidden="false" customHeight="false" outlineLevel="0" collapsed="false">
      <c r="A15" s="4" t="s">
        <v>74</v>
      </c>
      <c r="B15" s="4"/>
      <c r="C15" s="4" t="s">
        <v>61</v>
      </c>
      <c r="D15" s="8" t="n">
        <v>148.06035</v>
      </c>
      <c r="E15" s="9" t="n">
        <v>9.8</v>
      </c>
      <c r="F15" s="10" t="n">
        <v>236000188.672419</v>
      </c>
      <c r="G15" s="10" t="n">
        <v>61126820.7484908</v>
      </c>
      <c r="H15" s="10" t="n">
        <v>352766521.7365</v>
      </c>
      <c r="I15" s="10" t="n">
        <v>103614995.906891</v>
      </c>
      <c r="J15" s="10" t="n">
        <v>289075794.610637</v>
      </c>
      <c r="K15" s="11" t="n">
        <v>1.49477220217887</v>
      </c>
      <c r="L15" s="11" t="n">
        <v>0.57992563972266</v>
      </c>
      <c r="M15" s="11" t="n">
        <v>0.613448992781973</v>
      </c>
      <c r="N15" s="11" t="n">
        <v>2.77914238587851</v>
      </c>
      <c r="O15" s="12" t="n">
        <v>0.0666409289105632</v>
      </c>
      <c r="P15" s="12" t="n">
        <v>0.473393770420731</v>
      </c>
      <c r="Q15" s="4" t="n">
        <f aca="false">RANK(N15,$N$7:$N$307,0)</f>
        <v>9</v>
      </c>
      <c r="R15" s="4" t="n">
        <f aca="false">RANK(O15,$O$7:$O$307,1)</f>
        <v>40</v>
      </c>
      <c r="S15" s="4" t="n">
        <f aca="false">RANK(J15,$J$7:$J$307,0)</f>
        <v>15</v>
      </c>
      <c r="T15" s="4" t="str">
        <f aca="false">IF(O15&lt;0.05,"YES","no")</f>
        <v>no</v>
      </c>
      <c r="U15" s="4" t="str">
        <f aca="false">IF(P15&lt;0.05,"YES","no")</f>
        <v>no</v>
      </c>
      <c r="V15" s="4" t="str">
        <f aca="false">IF(N15&gt;1,"YES","no")</f>
        <v>YES</v>
      </c>
    </row>
    <row r="16" customFormat="false" ht="15" hidden="false" customHeight="false" outlineLevel="0" collapsed="false">
      <c r="A16" s="4" t="s">
        <v>95</v>
      </c>
      <c r="B16" s="4"/>
      <c r="C16" s="4" t="s">
        <v>61</v>
      </c>
      <c r="D16" s="8" t="n">
        <v>146.11753</v>
      </c>
      <c r="E16" s="9" t="n">
        <v>11.962</v>
      </c>
      <c r="F16" s="10" t="n">
        <v>168055920.841984</v>
      </c>
      <c r="G16" s="10" t="n">
        <v>33151408.0570371</v>
      </c>
      <c r="H16" s="10" t="n">
        <v>249457789.403927</v>
      </c>
      <c r="I16" s="10" t="n">
        <v>31299106.2891645</v>
      </c>
      <c r="J16" s="10" t="n">
        <v>205056770.188322</v>
      </c>
      <c r="K16" s="11" t="n">
        <v>1.48437370224214</v>
      </c>
      <c r="L16" s="11" t="n">
        <v>0.569854347012445</v>
      </c>
      <c r="M16" s="11" t="n">
        <v>0.810865553444186</v>
      </c>
      <c r="N16" s="11" t="n">
        <v>2.67526887027096</v>
      </c>
      <c r="O16" s="12" t="n">
        <v>0.00248527223616231</v>
      </c>
      <c r="P16" s="12" t="n">
        <v>0.147180205171976</v>
      </c>
      <c r="Q16" s="4" t="n">
        <f aca="false">RANK(N16,$N$7:$N$307,0)</f>
        <v>10</v>
      </c>
      <c r="R16" s="4" t="n">
        <f aca="false">RANK(O16,$O$7:$O$307,1)</f>
        <v>4</v>
      </c>
      <c r="S16" s="4" t="n">
        <f aca="false">RANK(J16,$J$7:$J$307,0)</f>
        <v>18</v>
      </c>
      <c r="T16" s="4" t="str">
        <f aca="false">IF(O16&lt;0.05,"YES","no")</f>
        <v>YES</v>
      </c>
      <c r="U16" s="4" t="str">
        <f aca="false">IF(P16&lt;0.05,"YES","no")</f>
        <v>no</v>
      </c>
      <c r="V16" s="4" t="str">
        <f aca="false">IF(N16&gt;1,"YES","no")</f>
        <v>YES</v>
      </c>
    </row>
    <row r="17" customFormat="false" ht="15" hidden="false" customHeight="false" outlineLevel="0" collapsed="false">
      <c r="A17" s="4" t="s">
        <v>79</v>
      </c>
      <c r="B17" s="4"/>
      <c r="C17" s="4" t="s">
        <v>61</v>
      </c>
      <c r="D17" s="8" t="n">
        <v>268.104</v>
      </c>
      <c r="E17" s="9" t="n">
        <v>8.014</v>
      </c>
      <c r="F17" s="10" t="n">
        <v>150277160.105509</v>
      </c>
      <c r="G17" s="10" t="n">
        <v>32317166.6564877</v>
      </c>
      <c r="H17" s="10" t="n">
        <v>225889042.06101</v>
      </c>
      <c r="I17" s="10" t="n">
        <v>54515494.5632549</v>
      </c>
      <c r="J17" s="10" t="n">
        <v>184646197.358009</v>
      </c>
      <c r="K17" s="11" t="n">
        <v>1.50314952653094</v>
      </c>
      <c r="L17" s="11" t="n">
        <v>0.587988529184301</v>
      </c>
      <c r="M17" s="11" t="n">
        <v>0.690505569418508</v>
      </c>
      <c r="N17" s="11" t="n">
        <v>2.36677104207472</v>
      </c>
      <c r="O17" s="12" t="n">
        <v>0.03288086954868</v>
      </c>
      <c r="P17" s="12" t="n">
        <v>0.389147141008843</v>
      </c>
      <c r="Q17" s="4" t="n">
        <f aca="false">RANK(N17,$N$7:$N$307,0)</f>
        <v>11</v>
      </c>
      <c r="R17" s="4" t="n">
        <f aca="false">RANK(O17,$O$7:$O$307,1)</f>
        <v>24</v>
      </c>
      <c r="S17" s="4" t="n">
        <f aca="false">RANK(J17,$J$7:$J$307,0)</f>
        <v>20</v>
      </c>
      <c r="T17" s="4" t="str">
        <f aca="false">IF(O17&lt;0.05,"YES","no")</f>
        <v>YES</v>
      </c>
      <c r="U17" s="4" t="str">
        <f aca="false">IF(P17&lt;0.05,"YES","no")</f>
        <v>no</v>
      </c>
      <c r="V17" s="4" t="str">
        <f aca="false">IF(N17&gt;1,"YES","no")</f>
        <v>YES</v>
      </c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72</v>
      </c>
      <c r="D18" s="8" t="n">
        <v>89.02433</v>
      </c>
      <c r="E18" s="9" t="n">
        <v>7.221</v>
      </c>
      <c r="F18" s="10" t="n">
        <v>829840482.596878</v>
      </c>
      <c r="G18" s="10" t="n">
        <v>227289212.916211</v>
      </c>
      <c r="H18" s="10" t="n">
        <v>940472284.736165</v>
      </c>
      <c r="I18" s="10" t="n">
        <v>218633406.643427</v>
      </c>
      <c r="J18" s="10" t="n">
        <v>880127665.387463</v>
      </c>
      <c r="K18" s="11" t="n">
        <v>1.1333169500156</v>
      </c>
      <c r="L18" s="11" t="n">
        <v>0.180551390081151</v>
      </c>
      <c r="M18" s="11" t="n">
        <v>0.262919440016271</v>
      </c>
      <c r="N18" s="11" t="n">
        <v>2.19501081719758</v>
      </c>
      <c r="O18" s="12" t="n">
        <v>0.433557787572388</v>
      </c>
      <c r="P18" s="12" t="n">
        <v>0.665820888057596</v>
      </c>
      <c r="Q18" s="4" t="n">
        <f aca="false">RANK(N18,$N$7:$N$307,0)</f>
        <v>12</v>
      </c>
      <c r="R18" s="4" t="n">
        <f aca="false">RANK(O18,$O$7:$O$307,1)</f>
        <v>196</v>
      </c>
      <c r="S18" s="4" t="n">
        <f aca="false">RANK(J18,$J$7:$J$307,0)</f>
        <v>6</v>
      </c>
      <c r="T18" s="4" t="str">
        <f aca="false">IF(O18&lt;0.05,"YES","no")</f>
        <v>no</v>
      </c>
      <c r="U18" s="4" t="str">
        <f aca="false">IF(P18&lt;0.05,"YES","no")</f>
        <v>no</v>
      </c>
      <c r="V18" s="4" t="str">
        <f aca="false">IF(N18&gt;1,"YES","no")</f>
        <v>YES</v>
      </c>
    </row>
    <row r="19" customFormat="false" ht="15" hidden="false" customHeight="false" outlineLevel="0" collapsed="false">
      <c r="A19" s="4" t="s">
        <v>127</v>
      </c>
      <c r="B19" s="4"/>
      <c r="C19" s="4" t="s">
        <v>61</v>
      </c>
      <c r="D19" s="8" t="n">
        <v>133.01415</v>
      </c>
      <c r="E19" s="9" t="n">
        <v>10.102</v>
      </c>
      <c r="F19" s="10" t="n">
        <v>264785387.700826</v>
      </c>
      <c r="G19" s="10" t="n">
        <v>111790827.746143</v>
      </c>
      <c r="H19" s="10" t="n">
        <v>201669389.260637</v>
      </c>
      <c r="I19" s="10" t="n">
        <v>136379283.252569</v>
      </c>
      <c r="J19" s="10" t="n">
        <v>236096297.50074</v>
      </c>
      <c r="K19" s="11" t="n">
        <v>0.761633377928309</v>
      </c>
      <c r="L19" s="11" t="n">
        <v>-0.392831389985632</v>
      </c>
      <c r="M19" s="11" t="n">
        <v>0.271171152873133</v>
      </c>
      <c r="N19" s="11" t="n">
        <v>2.07590304862851</v>
      </c>
      <c r="O19" s="12" t="n">
        <v>0.432030618276639</v>
      </c>
      <c r="P19" s="12" t="n">
        <v>0.665820888057596</v>
      </c>
      <c r="Q19" s="4" t="n">
        <f aca="false">RANK(N19,$N$7:$N$307,0)</f>
        <v>13</v>
      </c>
      <c r="R19" s="4" t="n">
        <f aca="false">RANK(O19,$O$7:$O$307,1)</f>
        <v>193</v>
      </c>
      <c r="S19" s="4" t="n">
        <f aca="false">RANK(J19,$J$7:$J$307,0)</f>
        <v>17</v>
      </c>
      <c r="T19" s="4" t="str">
        <f aca="false">IF(O19&lt;0.05,"YES","no")</f>
        <v>no</v>
      </c>
      <c r="U19" s="4" t="str">
        <f aca="false">IF(P19&lt;0.05,"YES","no")</f>
        <v>no</v>
      </c>
      <c r="V19" s="4" t="str">
        <f aca="false">IF(N19&gt;1,"YES","no")</f>
        <v>YES</v>
      </c>
    </row>
    <row r="20" customFormat="false" ht="15" hidden="false" customHeight="false" outlineLevel="0" collapsed="false">
      <c r="A20" s="4" t="s">
        <v>123</v>
      </c>
      <c r="B20" s="4"/>
      <c r="C20" s="4" t="s">
        <v>72</v>
      </c>
      <c r="D20" s="8" t="n">
        <v>104.10686</v>
      </c>
      <c r="E20" s="9" t="n">
        <v>8.911</v>
      </c>
      <c r="F20" s="10" t="n">
        <v>496739445.316634</v>
      </c>
      <c r="G20" s="10" t="n">
        <v>193229092.280199</v>
      </c>
      <c r="H20" s="10" t="n">
        <v>393332182.7711</v>
      </c>
      <c r="I20" s="10" t="n">
        <v>196611856.57064</v>
      </c>
      <c r="J20" s="10" t="n">
        <v>449736144.159574</v>
      </c>
      <c r="K20" s="11" t="n">
        <v>0.79182796228389</v>
      </c>
      <c r="L20" s="11" t="n">
        <v>-0.336741079886115</v>
      </c>
      <c r="M20" s="11" t="n">
        <v>0.28056646374103</v>
      </c>
      <c r="N20" s="11" t="n">
        <v>1.96714385832551</v>
      </c>
      <c r="O20" s="12" t="n">
        <v>0.405196379141993</v>
      </c>
      <c r="P20" s="12" t="n">
        <v>0.652214492629625</v>
      </c>
      <c r="Q20" s="4" t="n">
        <f aca="false">RANK(N20,$N$7:$N$307,0)</f>
        <v>14</v>
      </c>
      <c r="R20" s="4" t="n">
        <f aca="false">RANK(O20,$O$7:$O$307,1)</f>
        <v>187</v>
      </c>
      <c r="S20" s="4" t="n">
        <f aca="false">RANK(J20,$J$7:$J$307,0)</f>
        <v>10</v>
      </c>
      <c r="T20" s="4" t="str">
        <f aca="false">IF(O20&lt;0.05,"YES","no")</f>
        <v>no</v>
      </c>
      <c r="U20" s="4" t="str">
        <f aca="false">IF(P20&lt;0.05,"YES","no")</f>
        <v>no</v>
      </c>
      <c r="V20" s="4" t="str">
        <f aca="false">IF(N20&gt;1,"YES","no")</f>
        <v>YES</v>
      </c>
    </row>
    <row r="21" customFormat="false" ht="15" hidden="false" customHeight="false" outlineLevel="0" collapsed="false">
      <c r="A21" s="4" t="s">
        <v>183</v>
      </c>
      <c r="B21" s="4"/>
      <c r="C21" s="4" t="s">
        <v>72</v>
      </c>
      <c r="D21" s="8" t="n">
        <v>496.33971</v>
      </c>
      <c r="E21" s="9" t="n">
        <v>4.961</v>
      </c>
      <c r="F21" s="10" t="n">
        <v>182576479.781632</v>
      </c>
      <c r="G21" s="10" t="n">
        <v>66188936.7298519</v>
      </c>
      <c r="H21" s="10" t="n">
        <v>127815403.159159</v>
      </c>
      <c r="I21" s="10" t="n">
        <v>22086611.2639284</v>
      </c>
      <c r="J21" s="10" t="n">
        <v>157685081.316872</v>
      </c>
      <c r="K21" s="11" t="n">
        <v>0.700064999128205</v>
      </c>
      <c r="L21" s="11" t="n">
        <v>-0.514439216306241</v>
      </c>
      <c r="M21" s="11" t="n">
        <v>0.505273374337513</v>
      </c>
      <c r="N21" s="11" t="n">
        <v>1.90763849362778</v>
      </c>
      <c r="O21" s="12" t="n">
        <v>0.103463942455308</v>
      </c>
      <c r="P21" s="12" t="n">
        <v>0.496094407383191</v>
      </c>
      <c r="Q21" s="4" t="n">
        <f aca="false">RANK(N21,$N$7:$N$307,0)</f>
        <v>15</v>
      </c>
      <c r="R21" s="4" t="n">
        <f aca="false">RANK(O21,$O$7:$O$307,1)</f>
        <v>62</v>
      </c>
      <c r="S21" s="4" t="n">
        <f aca="false">RANK(J21,$J$7:$J$307,0)</f>
        <v>21</v>
      </c>
      <c r="T21" s="4" t="str">
        <f aca="false">IF(O21&lt;0.05,"YES","no")</f>
        <v>no</v>
      </c>
      <c r="U21" s="4" t="str">
        <f aca="false">IF(P21&lt;0.05,"YES","no")</f>
        <v>no</v>
      </c>
      <c r="V21" s="4" t="str">
        <f aca="false">IF(N21&gt;1,"YES","no")</f>
        <v>YES</v>
      </c>
    </row>
    <row r="22" customFormat="false" ht="15" hidden="false" customHeight="false" outlineLevel="0" collapsed="false">
      <c r="A22" s="4" t="s">
        <v>75</v>
      </c>
      <c r="B22" s="4"/>
      <c r="C22" s="4" t="s">
        <v>61</v>
      </c>
      <c r="D22" s="8" t="n">
        <v>348.07036</v>
      </c>
      <c r="E22" s="9" t="n">
        <v>9.071</v>
      </c>
      <c r="F22" s="10" t="n">
        <v>269074827.598258</v>
      </c>
      <c r="G22" s="10" t="n">
        <v>37852082.5235701</v>
      </c>
      <c r="H22" s="10" t="n">
        <v>324277924.990154</v>
      </c>
      <c r="I22" s="10" t="n">
        <v>94615361.9705395</v>
      </c>
      <c r="J22" s="10" t="n">
        <v>294167144.594574</v>
      </c>
      <c r="K22" s="11" t="n">
        <v>1.20515890648202</v>
      </c>
      <c r="L22" s="11" t="n">
        <v>0.269223385856704</v>
      </c>
      <c r="M22" s="11" t="n">
        <v>0.402568818557485</v>
      </c>
      <c r="N22" s="11" t="n">
        <v>1.78488614349072</v>
      </c>
      <c r="O22" s="12" t="n">
        <v>0.274301244183973</v>
      </c>
      <c r="P22" s="12" t="n">
        <v>0.589747674995542</v>
      </c>
      <c r="Q22" s="4" t="n">
        <f aca="false">RANK(N22,$N$7:$N$307,0)</f>
        <v>16</v>
      </c>
      <c r="R22" s="4" t="n">
        <f aca="false">RANK(O22,$O$7:$O$307,1)</f>
        <v>140</v>
      </c>
      <c r="S22" s="4" t="n">
        <f aca="false">RANK(J22,$J$7:$J$307,0)</f>
        <v>14</v>
      </c>
      <c r="T22" s="4" t="str">
        <f aca="false">IF(O22&lt;0.05,"YES","no")</f>
        <v>no</v>
      </c>
      <c r="U22" s="4" t="str">
        <f aca="false">IF(P22&lt;0.05,"YES","no")</f>
        <v>no</v>
      </c>
      <c r="V22" s="4" t="str">
        <f aca="false">IF(N22&gt;1,"YES","no")</f>
        <v>YES</v>
      </c>
    </row>
    <row r="23" customFormat="false" ht="15" hidden="false" customHeight="false" outlineLevel="0" collapsed="false">
      <c r="A23" s="4" t="s">
        <v>73</v>
      </c>
      <c r="B23" s="4"/>
      <c r="C23" s="4" t="s">
        <v>61</v>
      </c>
      <c r="D23" s="8" t="n">
        <v>116.07051</v>
      </c>
      <c r="E23" s="9" t="n">
        <v>10.722</v>
      </c>
      <c r="F23" s="10" t="n">
        <v>365067773.509445</v>
      </c>
      <c r="G23" s="10" t="n">
        <v>90757279.6293766</v>
      </c>
      <c r="H23" s="10" t="n">
        <v>430607295.865358</v>
      </c>
      <c r="I23" s="10" t="n">
        <v>65860300.6560115</v>
      </c>
      <c r="J23" s="10" t="n">
        <v>394858465.489406</v>
      </c>
      <c r="K23" s="11" t="n">
        <v>1.17952700049603</v>
      </c>
      <c r="L23" s="11" t="n">
        <v>0.238208443618389</v>
      </c>
      <c r="M23" s="11" t="n">
        <v>0.408362456485924</v>
      </c>
      <c r="N23" s="11" t="n">
        <v>1.7641066802755</v>
      </c>
      <c r="O23" s="12" t="n">
        <v>0.199942609643756</v>
      </c>
      <c r="P23" s="12" t="n">
        <v>0.545793274011047</v>
      </c>
      <c r="Q23" s="4" t="n">
        <f aca="false">RANK(N23,$N$7:$N$307,0)</f>
        <v>17</v>
      </c>
      <c r="R23" s="4" t="n">
        <f aca="false">RANK(O23,$O$7:$O$307,1)</f>
        <v>106</v>
      </c>
      <c r="S23" s="4" t="n">
        <f aca="false">RANK(J23,$J$7:$J$307,0)</f>
        <v>12</v>
      </c>
      <c r="T23" s="4" t="str">
        <f aca="false">IF(O23&lt;0.05,"YES","no")</f>
        <v>no</v>
      </c>
      <c r="U23" s="4" t="str">
        <f aca="false">IF(P23&lt;0.05,"YES","no")</f>
        <v>no</v>
      </c>
      <c r="V23" s="4" t="str">
        <f aca="false">IF(N23&gt;1,"YES","no")</f>
        <v>YES</v>
      </c>
    </row>
    <row r="24" customFormat="false" ht="15" hidden="false" customHeight="false" outlineLevel="0" collapsed="false">
      <c r="A24" s="4" t="s">
        <v>125</v>
      </c>
      <c r="B24" s="4"/>
      <c r="C24" s="4" t="s">
        <v>61</v>
      </c>
      <c r="D24" s="8" t="n">
        <v>171.00639</v>
      </c>
      <c r="E24" s="9" t="n">
        <v>9.574</v>
      </c>
      <c r="F24" s="10" t="n">
        <v>74705719.3879984</v>
      </c>
      <c r="G24" s="10" t="n">
        <v>55240317.6178382</v>
      </c>
      <c r="H24" s="10" t="n">
        <v>129628900.522415</v>
      </c>
      <c r="I24" s="10" t="n">
        <v>75625003.7370448</v>
      </c>
      <c r="J24" s="10" t="n">
        <v>99670801.7218242</v>
      </c>
      <c r="K24" s="11" t="n">
        <v>1.73519379218026</v>
      </c>
      <c r="L24" s="11" t="n">
        <v>0.795096796754235</v>
      </c>
      <c r="M24" s="11" t="n">
        <v>0.421253553192078</v>
      </c>
      <c r="N24" s="11" t="n">
        <v>1.70036833181527</v>
      </c>
      <c r="O24" s="12" t="n">
        <v>0.21752766609854</v>
      </c>
      <c r="P24" s="12" t="n">
        <v>0.545793274011047</v>
      </c>
      <c r="Q24" s="4" t="n">
        <f aca="false">RANK(N24,$N$7:$N$307,0)</f>
        <v>18</v>
      </c>
      <c r="R24" s="4" t="n">
        <f aca="false">RANK(O24,$O$7:$O$307,1)</f>
        <v>119</v>
      </c>
      <c r="S24" s="4" t="n">
        <f aca="false">RANK(J24,$J$7:$J$307,0)</f>
        <v>28</v>
      </c>
      <c r="T24" s="4" t="str">
        <f aca="false">IF(O24&lt;0.05,"YES","no")</f>
        <v>no</v>
      </c>
      <c r="U24" s="4" t="str">
        <f aca="false">IF(P24&lt;0.05,"YES","no")</f>
        <v>no</v>
      </c>
      <c r="V24" s="4" t="str">
        <f aca="false">IF(N24&gt;1,"YES","no")</f>
        <v>YES</v>
      </c>
    </row>
    <row r="25" customFormat="false" ht="15" hidden="false" customHeight="false" outlineLevel="0" collapsed="false">
      <c r="A25" s="4" t="s">
        <v>91</v>
      </c>
      <c r="B25" s="4" t="s">
        <v>92</v>
      </c>
      <c r="C25" s="4" t="s">
        <v>61</v>
      </c>
      <c r="D25" s="8" t="n">
        <v>308.09115</v>
      </c>
      <c r="E25" s="9" t="n">
        <v>9.381</v>
      </c>
      <c r="F25" s="10" t="n">
        <v>89683688.4941914</v>
      </c>
      <c r="G25" s="10" t="n">
        <v>19533517.575641</v>
      </c>
      <c r="H25" s="10" t="n">
        <v>132691385.608832</v>
      </c>
      <c r="I25" s="10" t="n">
        <v>51749353.180055</v>
      </c>
      <c r="J25" s="10" t="n">
        <v>109232641.728119</v>
      </c>
      <c r="K25" s="11" t="n">
        <v>1.47954870987968</v>
      </c>
      <c r="L25" s="11" t="n">
        <v>0.565157193892473</v>
      </c>
      <c r="M25" s="11" t="n">
        <v>0.534394742951572</v>
      </c>
      <c r="N25" s="11" t="n">
        <v>1.57115350510358</v>
      </c>
      <c r="O25" s="12" t="n">
        <v>0.139853433135674</v>
      </c>
      <c r="P25" s="12" t="n">
        <v>0.513878605264234</v>
      </c>
      <c r="Q25" s="4" t="n">
        <f aca="false">RANK(N25,$N$7:$N$307,0)</f>
        <v>19</v>
      </c>
      <c r="R25" s="4" t="n">
        <f aca="false">RANK(O25,$O$7:$O$307,1)</f>
        <v>81</v>
      </c>
      <c r="S25" s="4" t="n">
        <f aca="false">RANK(J25,$J$7:$J$307,0)</f>
        <v>27</v>
      </c>
      <c r="T25" s="4" t="str">
        <f aca="false">IF(O25&lt;0.05,"YES","no")</f>
        <v>no</v>
      </c>
      <c r="U25" s="4" t="str">
        <f aca="false">IF(P25&lt;0.05,"YES","no")</f>
        <v>no</v>
      </c>
      <c r="V25" s="4" t="str">
        <f aca="false">IF(N25&gt;1,"YES","no")</f>
        <v>YES</v>
      </c>
    </row>
    <row r="26" customFormat="false" ht="15" hidden="false" customHeight="false" outlineLevel="0" collapsed="false">
      <c r="A26" s="4" t="s">
        <v>110</v>
      </c>
      <c r="B26" s="4"/>
      <c r="C26" s="4" t="s">
        <v>61</v>
      </c>
      <c r="D26" s="8" t="n">
        <v>76.07564</v>
      </c>
      <c r="E26" s="9" t="n">
        <v>12.042</v>
      </c>
      <c r="F26" s="10" t="n">
        <v>24415264.4924873</v>
      </c>
      <c r="G26" s="10" t="n">
        <v>10740949.1622188</v>
      </c>
      <c r="H26" s="10" t="n">
        <v>51583033.8158539</v>
      </c>
      <c r="I26" s="10" t="n">
        <v>11557253.4399544</v>
      </c>
      <c r="J26" s="10" t="n">
        <v>36764250.548563</v>
      </c>
      <c r="K26" s="11" t="n">
        <v>2.11273704742073</v>
      </c>
      <c r="L26" s="11" t="n">
        <v>1.07911321971543</v>
      </c>
      <c r="M26" s="11" t="n">
        <v>0.802706389412935</v>
      </c>
      <c r="N26" s="11" t="n">
        <v>1.54232009214221</v>
      </c>
      <c r="O26" s="12" t="n">
        <v>0.00356568232299137</v>
      </c>
      <c r="P26" s="12" t="n">
        <v>0.147180205171976</v>
      </c>
      <c r="Q26" s="4" t="n">
        <f aca="false">RANK(N26,$N$7:$N$307,0)</f>
        <v>20</v>
      </c>
      <c r="R26" s="4" t="n">
        <f aca="false">RANK(O26,$O$7:$O$307,1)</f>
        <v>6</v>
      </c>
      <c r="S26" s="4" t="n">
        <f aca="false">RANK(J26,$J$7:$J$307,0)</f>
        <v>52</v>
      </c>
      <c r="T26" s="4" t="str">
        <f aca="false">IF(O26&lt;0.05,"YES","no")</f>
        <v>YES</v>
      </c>
      <c r="U26" s="4" t="str">
        <f aca="false">IF(P26&lt;0.05,"YES","no")</f>
        <v>no</v>
      </c>
      <c r="V26" s="4" t="str">
        <f aca="false">IF(N26&gt;1,"YES","no")</f>
        <v>YES</v>
      </c>
    </row>
    <row r="27" customFormat="false" ht="15" hidden="false" customHeight="false" outlineLevel="0" collapsed="false">
      <c r="A27" s="4" t="s">
        <v>83</v>
      </c>
      <c r="B27" s="4" t="s">
        <v>84</v>
      </c>
      <c r="C27" s="4" t="s">
        <v>61</v>
      </c>
      <c r="D27" s="8" t="n">
        <v>175.11886</v>
      </c>
      <c r="E27" s="9" t="n">
        <v>18.84</v>
      </c>
      <c r="F27" s="10" t="n">
        <v>69884678.5397658</v>
      </c>
      <c r="G27" s="10" t="n">
        <v>21782184.2648221</v>
      </c>
      <c r="H27" s="10" t="n">
        <v>103985167.867221</v>
      </c>
      <c r="I27" s="10" t="n">
        <v>23859947.8766528</v>
      </c>
      <c r="J27" s="10" t="n">
        <v>85384900.9613362</v>
      </c>
      <c r="K27" s="11" t="n">
        <v>1.4879537266248</v>
      </c>
      <c r="L27" s="11" t="n">
        <v>0.573329661253093</v>
      </c>
      <c r="M27" s="11" t="n">
        <v>0.636790544972514</v>
      </c>
      <c r="N27" s="11" t="n">
        <v>1.52903358844293</v>
      </c>
      <c r="O27" s="12" t="n">
        <v>0.0386296646047862</v>
      </c>
      <c r="P27" s="12" t="n">
        <v>0.400949277449678</v>
      </c>
      <c r="Q27" s="4" t="n">
        <f aca="false">RANK(N27,$N$7:$N$307,0)</f>
        <v>21</v>
      </c>
      <c r="R27" s="4" t="n">
        <f aca="false">RANK(O27,$O$7:$O$307,1)</f>
        <v>29</v>
      </c>
      <c r="S27" s="4" t="n">
        <f aca="false">RANK(J27,$J$7:$J$307,0)</f>
        <v>32</v>
      </c>
      <c r="T27" s="4" t="str">
        <f aca="false">IF(O27&lt;0.05,"YES","no")</f>
        <v>YES</v>
      </c>
      <c r="U27" s="4" t="str">
        <f aca="false">IF(P27&lt;0.05,"YES","no")</f>
        <v>no</v>
      </c>
      <c r="V27" s="4" t="str">
        <f aca="false">IF(N27&gt;1,"YES","no")</f>
        <v>YES</v>
      </c>
    </row>
    <row r="28" customFormat="false" ht="15" hidden="false" customHeight="false" outlineLevel="0" collapsed="false">
      <c r="A28" s="4" t="s">
        <v>222</v>
      </c>
      <c r="B28" s="4"/>
      <c r="C28" s="4" t="s">
        <v>61</v>
      </c>
      <c r="D28" s="8" t="n">
        <v>665.215</v>
      </c>
      <c r="E28" s="9" t="n">
        <v>11.713</v>
      </c>
      <c r="F28" s="10" t="n">
        <v>7899828.61700902</v>
      </c>
      <c r="G28" s="10" t="n">
        <v>8628621.2967333</v>
      </c>
      <c r="H28" s="10" t="n">
        <v>43583946.8595305</v>
      </c>
      <c r="I28" s="10" t="n">
        <v>43112153.0086013</v>
      </c>
      <c r="J28" s="10" t="n">
        <v>24119882.3636097</v>
      </c>
      <c r="K28" s="11" t="n">
        <v>5.51707498637254</v>
      </c>
      <c r="L28" s="11" t="n">
        <v>2.46390358926793</v>
      </c>
      <c r="M28" s="11" t="n">
        <v>0.55486935839169</v>
      </c>
      <c r="N28" s="11" t="n">
        <v>1.51035266486452</v>
      </c>
      <c r="O28" s="12" t="n">
        <v>0.138259285493403</v>
      </c>
      <c r="P28" s="12" t="n">
        <v>0.513878605264234</v>
      </c>
      <c r="Q28" s="4" t="n">
        <f aca="false">RANK(N28,$N$7:$N$307,0)</f>
        <v>22</v>
      </c>
      <c r="R28" s="4" t="n">
        <f aca="false">RANK(O28,$O$7:$O$307,1)</f>
        <v>80</v>
      </c>
      <c r="S28" s="4" t="n">
        <f aca="false">RANK(J28,$J$7:$J$307,0)</f>
        <v>70</v>
      </c>
      <c r="T28" s="4" t="str">
        <f aca="false">IF(O28&lt;0.05,"YES","no")</f>
        <v>no</v>
      </c>
      <c r="U28" s="4" t="str">
        <f aca="false">IF(P28&lt;0.05,"YES","no")</f>
        <v>no</v>
      </c>
      <c r="V28" s="4" t="str">
        <f aca="false">IF(N28&gt;1,"YES","no")</f>
        <v>YES</v>
      </c>
    </row>
    <row r="29" customFormat="false" ht="15" hidden="false" customHeight="false" outlineLevel="0" collapsed="false">
      <c r="A29" s="4" t="s">
        <v>128</v>
      </c>
      <c r="B29" s="4"/>
      <c r="C29" s="4" t="s">
        <v>61</v>
      </c>
      <c r="D29" s="8" t="n">
        <v>188.05646</v>
      </c>
      <c r="E29" s="9" t="n">
        <v>8.846</v>
      </c>
      <c r="F29" s="10" t="n">
        <v>14023712.1992758</v>
      </c>
      <c r="G29" s="10" t="n">
        <v>5398474.13783672</v>
      </c>
      <c r="H29" s="10" t="n">
        <v>38536621.3808279</v>
      </c>
      <c r="I29" s="10" t="n">
        <v>16669646.8853725</v>
      </c>
      <c r="J29" s="10" t="n">
        <v>25165943.6454358</v>
      </c>
      <c r="K29" s="11" t="n">
        <v>2.74796151213214</v>
      </c>
      <c r="L29" s="11" t="n">
        <v>1.45836179795334</v>
      </c>
      <c r="M29" s="11" t="n">
        <v>0.752246324534706</v>
      </c>
      <c r="N29" s="11" t="n">
        <v>1.4008465130734</v>
      </c>
      <c r="O29" s="12" t="n">
        <v>0.0275239848312972</v>
      </c>
      <c r="P29" s="12" t="n">
        <v>0.376578156100929</v>
      </c>
      <c r="Q29" s="4" t="n">
        <f aca="false">RANK(N29,$N$7:$N$307,0)</f>
        <v>23</v>
      </c>
      <c r="R29" s="4" t="n">
        <f aca="false">RANK(O29,$O$7:$O$307,1)</f>
        <v>22</v>
      </c>
      <c r="S29" s="4" t="n">
        <f aca="false">RANK(J29,$J$7:$J$307,0)</f>
        <v>69</v>
      </c>
      <c r="T29" s="4" t="str">
        <f aca="false">IF(O29&lt;0.05,"YES","no")</f>
        <v>YES</v>
      </c>
      <c r="U29" s="4" t="str">
        <f aca="false">IF(P29&lt;0.05,"YES","no")</f>
        <v>no</v>
      </c>
      <c r="V29" s="4" t="str">
        <f aca="false">IF(N29&gt;1,"YES","no")</f>
        <v>YES</v>
      </c>
    </row>
    <row r="30" customFormat="false" ht="15" hidden="false" customHeight="false" outlineLevel="0" collapsed="false">
      <c r="A30" s="4" t="s">
        <v>97</v>
      </c>
      <c r="B30" s="4" t="s">
        <v>98</v>
      </c>
      <c r="C30" s="4" t="s">
        <v>72</v>
      </c>
      <c r="D30" s="8" t="n">
        <v>218.13866</v>
      </c>
      <c r="E30" s="9" t="n">
        <v>9.458</v>
      </c>
      <c r="F30" s="10" t="n">
        <v>263173925.210802</v>
      </c>
      <c r="G30" s="10" t="n">
        <v>134186387.459625</v>
      </c>
      <c r="H30" s="10" t="n">
        <v>302562150.910511</v>
      </c>
      <c r="I30" s="10" t="n">
        <v>92670154.8955429</v>
      </c>
      <c r="J30" s="10" t="n">
        <v>281077664.165215</v>
      </c>
      <c r="K30" s="11" t="n">
        <v>1.14966614062605</v>
      </c>
      <c r="L30" s="11" t="n">
        <v>0.201214967958995</v>
      </c>
      <c r="M30" s="11" t="n">
        <v>0.181380133101682</v>
      </c>
      <c r="N30" s="11" t="n">
        <v>1.28093408527253</v>
      </c>
      <c r="O30" s="12" t="n">
        <v>0.580773048353523</v>
      </c>
      <c r="P30" s="12" t="n">
        <v>0.766722313835134</v>
      </c>
      <c r="Q30" s="4" t="n">
        <f aca="false">RANK(N30,$N$7:$N$307,0)</f>
        <v>24</v>
      </c>
      <c r="R30" s="4" t="n">
        <f aca="false">RANK(O30,$O$7:$O$307,1)</f>
        <v>228</v>
      </c>
      <c r="S30" s="4" t="n">
        <f aca="false">RANK(J30,$J$7:$J$307,0)</f>
        <v>16</v>
      </c>
      <c r="T30" s="4" t="str">
        <f aca="false">IF(O30&lt;0.05,"YES","no")</f>
        <v>no</v>
      </c>
      <c r="U30" s="4" t="str">
        <f aca="false">IF(P30&lt;0.05,"YES","no")</f>
        <v>no</v>
      </c>
      <c r="V30" s="4" t="str">
        <f aca="false">IF(N30&gt;1,"YES","no")</f>
        <v>YES</v>
      </c>
    </row>
    <row r="31" customFormat="false" ht="15" hidden="false" customHeight="false" outlineLevel="0" collapsed="false">
      <c r="A31" s="4" t="s">
        <v>198</v>
      </c>
      <c r="B31" s="4" t="s">
        <v>199</v>
      </c>
      <c r="C31" s="4" t="s">
        <v>61</v>
      </c>
      <c r="D31" s="8" t="n">
        <v>259.02216</v>
      </c>
      <c r="E31" s="9" t="n">
        <v>10.206</v>
      </c>
      <c r="F31" s="10" t="n">
        <v>27695332.252415</v>
      </c>
      <c r="G31" s="10" t="n">
        <v>13088078.5637586</v>
      </c>
      <c r="H31" s="10" t="n">
        <v>55080460.8331428</v>
      </c>
      <c r="I31" s="10" t="n">
        <v>44883716.4859481</v>
      </c>
      <c r="J31" s="10" t="n">
        <v>40143117.9709276</v>
      </c>
      <c r="K31" s="11" t="n">
        <v>1.98879942407406</v>
      </c>
      <c r="L31" s="11" t="n">
        <v>0.991897783720647</v>
      </c>
      <c r="M31" s="11" t="n">
        <v>0.431990368004033</v>
      </c>
      <c r="N31" s="11" t="n">
        <v>1.27783931519232</v>
      </c>
      <c r="O31" s="12" t="n">
        <v>0.249590812664415</v>
      </c>
      <c r="P31" s="12" t="n">
        <v>0.585306597098332</v>
      </c>
      <c r="Q31" s="4" t="n">
        <f aca="false">RANK(N31,$N$7:$N$307,0)</f>
        <v>25</v>
      </c>
      <c r="R31" s="4" t="n">
        <f aca="false">RANK(O31,$O$7:$O$307,1)</f>
        <v>128</v>
      </c>
      <c r="S31" s="4" t="n">
        <f aca="false">RANK(J31,$J$7:$J$307,0)</f>
        <v>49</v>
      </c>
      <c r="T31" s="4" t="str">
        <f aca="false">IF(O31&lt;0.05,"YES","no")</f>
        <v>no</v>
      </c>
      <c r="U31" s="4" t="str">
        <f aca="false">IF(P31&lt;0.05,"YES","no")</f>
        <v>no</v>
      </c>
      <c r="V31" s="4" t="str">
        <f aca="false">IF(N31&gt;1,"YES","no")</f>
        <v>YES</v>
      </c>
    </row>
    <row r="32" customFormat="false" ht="15" hidden="false" customHeight="false" outlineLevel="0" collapsed="false">
      <c r="A32" s="4" t="s">
        <v>150</v>
      </c>
      <c r="B32" s="4"/>
      <c r="C32" s="4" t="s">
        <v>61</v>
      </c>
      <c r="D32" s="8" t="n">
        <v>558.06456</v>
      </c>
      <c r="E32" s="9" t="n">
        <v>9.061</v>
      </c>
      <c r="F32" s="10" t="n">
        <v>81600092.4498089</v>
      </c>
      <c r="G32" s="10" t="n">
        <v>21096382.9245188</v>
      </c>
      <c r="H32" s="10" t="n">
        <v>109418304.482694</v>
      </c>
      <c r="I32" s="10" t="n">
        <v>38502716.8260474</v>
      </c>
      <c r="J32" s="10" t="n">
        <v>94244734.2829387</v>
      </c>
      <c r="K32" s="11" t="n">
        <v>1.34090907494984</v>
      </c>
      <c r="L32" s="11" t="n">
        <v>0.423211413553852</v>
      </c>
      <c r="M32" s="11" t="n">
        <v>0.453419986394392</v>
      </c>
      <c r="N32" s="11" t="n">
        <v>1.26418196192343</v>
      </c>
      <c r="O32" s="12" t="n">
        <v>0.198984441372631</v>
      </c>
      <c r="P32" s="12" t="n">
        <v>0.545793274011047</v>
      </c>
      <c r="Q32" s="4" t="n">
        <f aca="false">RANK(N32,$N$7:$N$307,0)</f>
        <v>26</v>
      </c>
      <c r="R32" s="4" t="n">
        <f aca="false">RANK(O32,$O$7:$O$307,1)</f>
        <v>105</v>
      </c>
      <c r="S32" s="4" t="n">
        <f aca="false">RANK(J32,$J$7:$J$307,0)</f>
        <v>29</v>
      </c>
      <c r="T32" s="4" t="str">
        <f aca="false">IF(O32&lt;0.05,"YES","no")</f>
        <v>no</v>
      </c>
      <c r="U32" s="4" t="str">
        <f aca="false">IF(P32&lt;0.05,"YES","no")</f>
        <v>no</v>
      </c>
      <c r="V32" s="4" t="str">
        <f aca="false">IF(N32&gt;1,"YES","no")</f>
        <v>YES</v>
      </c>
    </row>
    <row r="33" customFormat="false" ht="15" hidden="false" customHeight="false" outlineLevel="0" collapsed="false">
      <c r="A33" s="4" t="s">
        <v>82</v>
      </c>
      <c r="B33" s="4"/>
      <c r="C33" s="4" t="s">
        <v>61</v>
      </c>
      <c r="D33" s="8" t="n">
        <v>166.08629</v>
      </c>
      <c r="E33" s="9" t="n">
        <v>8.757</v>
      </c>
      <c r="F33" s="10" t="n">
        <v>54632902.8605096</v>
      </c>
      <c r="G33" s="10" t="n">
        <v>13027138.8472989</v>
      </c>
      <c r="H33" s="10" t="n">
        <v>75214018.9761731</v>
      </c>
      <c r="I33" s="10" t="n">
        <v>20135055.8804881</v>
      </c>
      <c r="J33" s="10" t="n">
        <v>63987955.6403567</v>
      </c>
      <c r="K33" s="11" t="n">
        <v>1.37671650302405</v>
      </c>
      <c r="L33" s="11" t="n">
        <v>0.461231506611907</v>
      </c>
      <c r="M33" s="11" t="n">
        <v>0.564485712985307</v>
      </c>
      <c r="N33" s="11" t="n">
        <v>1.15578652615936</v>
      </c>
      <c r="O33" s="12" t="n">
        <v>0.0920439884515589</v>
      </c>
      <c r="P33" s="12" t="n">
        <v>0.486863080767276</v>
      </c>
      <c r="Q33" s="4" t="n">
        <f aca="false">RANK(N33,$N$7:$N$307,0)</f>
        <v>27</v>
      </c>
      <c r="R33" s="4" t="n">
        <f aca="false">RANK(O33,$O$7:$O$307,1)</f>
        <v>56</v>
      </c>
      <c r="S33" s="4" t="n">
        <f aca="false">RANK(J33,$J$7:$J$307,0)</f>
        <v>38</v>
      </c>
      <c r="T33" s="4" t="str">
        <f aca="false">IF(O33&lt;0.05,"YES","no")</f>
        <v>no</v>
      </c>
      <c r="U33" s="4" t="str">
        <f aca="false">IF(P33&lt;0.05,"YES","no")</f>
        <v>no</v>
      </c>
      <c r="V33" s="4" t="str">
        <f aca="false">IF(N33&gt;1,"YES","no")</f>
        <v>YES</v>
      </c>
    </row>
    <row r="34" customFormat="false" ht="15" hidden="false" customHeight="false" outlineLevel="0" collapsed="false">
      <c r="A34" s="4" t="s">
        <v>229</v>
      </c>
      <c r="B34" s="4"/>
      <c r="C34" s="4" t="s">
        <v>61</v>
      </c>
      <c r="D34" s="8" t="n">
        <v>259.02211</v>
      </c>
      <c r="E34" s="9" t="n">
        <v>10.095</v>
      </c>
      <c r="F34" s="10" t="n">
        <v>24720871.6875501</v>
      </c>
      <c r="G34" s="10" t="n">
        <v>9695298.29707163</v>
      </c>
      <c r="H34" s="10" t="n">
        <v>46161018.9778115</v>
      </c>
      <c r="I34" s="10" t="n">
        <v>36422702.9695098</v>
      </c>
      <c r="J34" s="10" t="n">
        <v>34466393.1831235</v>
      </c>
      <c r="K34" s="11" t="n">
        <v>1.86728929146374</v>
      </c>
      <c r="L34" s="11" t="n">
        <v>0.900945455699388</v>
      </c>
      <c r="M34" s="11" t="n">
        <v>0.422289894911437</v>
      </c>
      <c r="N34" s="11" t="n">
        <v>1.12694590649572</v>
      </c>
      <c r="O34" s="12" t="n">
        <v>0.263201366935981</v>
      </c>
      <c r="P34" s="12" t="n">
        <v>0.589747674995542</v>
      </c>
      <c r="Q34" s="4" t="n">
        <f aca="false">RANK(N34,$N$7:$N$307,0)</f>
        <v>28</v>
      </c>
      <c r="R34" s="4" t="n">
        <f aca="false">RANK(O34,$O$7:$O$307,1)</f>
        <v>133</v>
      </c>
      <c r="S34" s="4" t="n">
        <f aca="false">RANK(J34,$J$7:$J$307,0)</f>
        <v>58</v>
      </c>
      <c r="T34" s="4" t="str">
        <f aca="false">IF(O34&lt;0.05,"YES","no")</f>
        <v>no</v>
      </c>
      <c r="U34" s="4" t="str">
        <f aca="false">IF(P34&lt;0.05,"YES","no")</f>
        <v>no</v>
      </c>
      <c r="V34" s="4" t="str">
        <f aca="false">IF(N34&gt;1,"YES","no")</f>
        <v>YES</v>
      </c>
    </row>
    <row r="35" customFormat="false" ht="15" hidden="false" customHeight="false" outlineLevel="0" collapsed="false">
      <c r="A35" s="4" t="s">
        <v>99</v>
      </c>
      <c r="B35" s="4"/>
      <c r="C35" s="4" t="s">
        <v>61</v>
      </c>
      <c r="D35" s="8" t="n">
        <v>269.08805</v>
      </c>
      <c r="E35" s="9" t="n">
        <v>8.957</v>
      </c>
      <c r="F35" s="10" t="n">
        <v>14264162.0124837</v>
      </c>
      <c r="G35" s="10" t="n">
        <v>6811101.91762762</v>
      </c>
      <c r="H35" s="10" t="n">
        <v>32561129.3124626</v>
      </c>
      <c r="I35" s="10" t="n">
        <v>21132469.6092522</v>
      </c>
      <c r="J35" s="10" t="n">
        <v>22580965.3306559</v>
      </c>
      <c r="K35" s="11" t="n">
        <v>2.28272290261187</v>
      </c>
      <c r="L35" s="11" t="n">
        <v>1.19075574292206</v>
      </c>
      <c r="M35" s="11" t="n">
        <v>0.55810023203451</v>
      </c>
      <c r="N35" s="11" t="n">
        <v>1.11532094200702</v>
      </c>
      <c r="O35" s="12" t="n">
        <v>0.126174911977193</v>
      </c>
      <c r="P35" s="12" t="n">
        <v>0.513878605264234</v>
      </c>
      <c r="Q35" s="4" t="n">
        <f aca="false">RANK(N35,$N$7:$N$307,0)</f>
        <v>29</v>
      </c>
      <c r="R35" s="4" t="n">
        <f aca="false">RANK(O35,$O$7:$O$307,1)</f>
        <v>69</v>
      </c>
      <c r="S35" s="4" t="n">
        <f aca="false">RANK(J35,$J$7:$J$307,0)</f>
        <v>71</v>
      </c>
      <c r="T35" s="4" t="str">
        <f aca="false">IF(O35&lt;0.05,"YES","no")</f>
        <v>no</v>
      </c>
      <c r="U35" s="4" t="str">
        <f aca="false">IF(P35&lt;0.05,"YES","no")</f>
        <v>no</v>
      </c>
      <c r="V35" s="4" t="str">
        <f aca="false">IF(N35&gt;1,"YES","no")</f>
        <v>YES</v>
      </c>
    </row>
    <row r="36" customFormat="false" ht="15" hidden="false" customHeight="false" outlineLevel="0" collapsed="false">
      <c r="A36" s="4" t="s">
        <v>118</v>
      </c>
      <c r="B36" s="4"/>
      <c r="C36" s="4" t="s">
        <v>61</v>
      </c>
      <c r="D36" s="8" t="n">
        <v>230.09567</v>
      </c>
      <c r="E36" s="9" t="n">
        <v>11.253</v>
      </c>
      <c r="F36" s="10" t="n">
        <v>69723076.4933828</v>
      </c>
      <c r="G36" s="10" t="n">
        <v>9809647.30827597</v>
      </c>
      <c r="H36" s="10" t="n">
        <v>52428398.869404</v>
      </c>
      <c r="I36" s="10" t="n">
        <v>11632759.4779146</v>
      </c>
      <c r="J36" s="10" t="n">
        <v>61861859.3915743</v>
      </c>
      <c r="K36" s="11" t="n">
        <v>0.751951886035607</v>
      </c>
      <c r="L36" s="11" t="n">
        <v>-0.411287741493114</v>
      </c>
      <c r="M36" s="11" t="n">
        <v>0.666167586536268</v>
      </c>
      <c r="N36" s="11" t="n">
        <v>1.10688307780899</v>
      </c>
      <c r="O36" s="12" t="n">
        <v>0.0302366576532674</v>
      </c>
      <c r="P36" s="12" t="n">
        <v>0.389147141008843</v>
      </c>
      <c r="Q36" s="4" t="n">
        <f aca="false">RANK(N36,$N$7:$N$307,0)</f>
        <v>30</v>
      </c>
      <c r="R36" s="4" t="n">
        <f aca="false">RANK(O36,$O$7:$O$307,1)</f>
        <v>23</v>
      </c>
      <c r="S36" s="4" t="n">
        <f aca="false">RANK(J36,$J$7:$J$307,0)</f>
        <v>39</v>
      </c>
      <c r="T36" s="4" t="str">
        <f aca="false">IF(O36&lt;0.05,"YES","no")</f>
        <v>YES</v>
      </c>
      <c r="U36" s="4" t="str">
        <f aca="false">IF(P36&lt;0.05,"YES","no")</f>
        <v>no</v>
      </c>
      <c r="V36" s="4" t="str">
        <f aca="false">IF(N36&gt;1,"YES","no")</f>
        <v>YES</v>
      </c>
    </row>
    <row r="37" customFormat="false" ht="15" hidden="false" customHeight="false" outlineLevel="0" collapsed="false">
      <c r="A37" s="4" t="s">
        <v>138</v>
      </c>
      <c r="B37" s="4"/>
      <c r="C37" s="4" t="s">
        <v>61</v>
      </c>
      <c r="D37" s="8" t="n">
        <v>179.0561</v>
      </c>
      <c r="E37" s="9" t="n">
        <v>11.841</v>
      </c>
      <c r="F37" s="10" t="n">
        <v>74148098.0406047</v>
      </c>
      <c r="G37" s="10" t="n">
        <v>7680258.33786946</v>
      </c>
      <c r="H37" s="10" t="n">
        <v>60374226.3871317</v>
      </c>
      <c r="I37" s="10" t="n">
        <v>6408120.07208416</v>
      </c>
      <c r="J37" s="10" t="n">
        <v>67887247.2890261</v>
      </c>
      <c r="K37" s="11" t="n">
        <v>0.814238368650668</v>
      </c>
      <c r="L37" s="11" t="n">
        <v>-0.296476888936561</v>
      </c>
      <c r="M37" s="11" t="n">
        <v>0.727881855953227</v>
      </c>
      <c r="N37" s="11" t="n">
        <v>1.07140670640806</v>
      </c>
      <c r="O37" s="12" t="n">
        <v>0.010122877424516</v>
      </c>
      <c r="P37" s="12" t="n">
        <v>0.234383546521485</v>
      </c>
      <c r="Q37" s="4" t="n">
        <f aca="false">RANK(N37,$N$7:$N$307,0)</f>
        <v>31</v>
      </c>
      <c r="R37" s="4" t="n">
        <f aca="false">RANK(O37,$O$7:$O$307,1)</f>
        <v>13</v>
      </c>
      <c r="S37" s="4" t="n">
        <f aca="false">RANK(J37,$J$7:$J$307,0)</f>
        <v>35</v>
      </c>
      <c r="T37" s="4" t="str">
        <f aca="false">IF(O37&lt;0.05,"YES","no")</f>
        <v>YES</v>
      </c>
      <c r="U37" s="4" t="str">
        <f aca="false">IF(P37&lt;0.05,"YES","no")</f>
        <v>no</v>
      </c>
      <c r="V37" s="4" t="str">
        <f aca="false">IF(N37&gt;1,"YES","no")</f>
        <v>YES</v>
      </c>
    </row>
    <row r="38" customFormat="false" ht="15" hidden="false" customHeight="false" outlineLevel="0" collapsed="false">
      <c r="A38" s="4" t="s">
        <v>220</v>
      </c>
      <c r="B38" s="4"/>
      <c r="C38" s="4" t="s">
        <v>72</v>
      </c>
      <c r="D38" s="8" t="n">
        <v>522.20298</v>
      </c>
      <c r="E38" s="9" t="n">
        <v>11.479</v>
      </c>
      <c r="F38" s="10" t="n">
        <v>7572275.59494758</v>
      </c>
      <c r="G38" s="10" t="n">
        <v>7423496.01530943</v>
      </c>
      <c r="H38" s="10" t="n">
        <v>25396103.2597138</v>
      </c>
      <c r="I38" s="10" t="n">
        <v>21125185.7912594</v>
      </c>
      <c r="J38" s="10" t="n">
        <v>15674015.4425686</v>
      </c>
      <c r="K38" s="11" t="n">
        <v>3.35382712122347</v>
      </c>
      <c r="L38" s="11" t="n">
        <v>1.74580832462628</v>
      </c>
      <c r="M38" s="11" t="n">
        <v>0.544063370054041</v>
      </c>
      <c r="N38" s="11" t="n">
        <v>1.07042087092635</v>
      </c>
      <c r="O38" s="12" t="n">
        <v>0.134482591857963</v>
      </c>
      <c r="P38" s="12" t="n">
        <v>0.513878605264234</v>
      </c>
      <c r="Q38" s="4" t="n">
        <f aca="false">RANK(N38,$N$7:$N$307,0)</f>
        <v>32</v>
      </c>
      <c r="R38" s="4" t="n">
        <f aca="false">RANK(O38,$O$7:$O$307,1)</f>
        <v>75</v>
      </c>
      <c r="S38" s="4" t="n">
        <f aca="false">RANK(J38,$J$7:$J$307,0)</f>
        <v>86</v>
      </c>
      <c r="T38" s="4" t="str">
        <f aca="false">IF(O38&lt;0.05,"YES","no")</f>
        <v>no</v>
      </c>
      <c r="U38" s="4" t="str">
        <f aca="false">IF(P38&lt;0.05,"YES","no")</f>
        <v>no</v>
      </c>
      <c r="V38" s="4" t="str">
        <f aca="false">IF(N38&gt;1,"YES","no")</f>
        <v>YES</v>
      </c>
    </row>
    <row r="39" customFormat="false" ht="15" hidden="false" customHeight="false" outlineLevel="0" collapsed="false">
      <c r="A39" s="4" t="s">
        <v>165</v>
      </c>
      <c r="B39" s="4"/>
      <c r="C39" s="4" t="s">
        <v>61</v>
      </c>
      <c r="D39" s="8" t="n">
        <v>664.11651</v>
      </c>
      <c r="E39" s="9" t="n">
        <v>9.531</v>
      </c>
      <c r="F39" s="10" t="n">
        <v>40663557.4625575</v>
      </c>
      <c r="G39" s="10" t="n">
        <v>20248061.8186663</v>
      </c>
      <c r="H39" s="10" t="n">
        <v>20673265.2014487</v>
      </c>
      <c r="I39" s="10" t="n">
        <v>12289448.5671656</v>
      </c>
      <c r="J39" s="10" t="n">
        <v>31577060.9802353</v>
      </c>
      <c r="K39" s="11" t="n">
        <v>0.508397850347559</v>
      </c>
      <c r="L39" s="11" t="n">
        <v>-0.975970164661471</v>
      </c>
      <c r="M39" s="11" t="n">
        <v>0.539537631123901</v>
      </c>
      <c r="N39" s="11" t="n">
        <v>1.06969233765622</v>
      </c>
      <c r="O39" s="12" t="n">
        <v>0.077295122058778</v>
      </c>
      <c r="P39" s="12" t="n">
        <v>0.483522015532954</v>
      </c>
      <c r="Q39" s="4" t="n">
        <f aca="false">RANK(N39,$N$7:$N$307,0)</f>
        <v>33</v>
      </c>
      <c r="R39" s="4" t="n">
        <f aca="false">RANK(O39,$O$7:$O$307,1)</f>
        <v>47</v>
      </c>
      <c r="S39" s="4" t="n">
        <f aca="false">RANK(J39,$J$7:$J$307,0)</f>
        <v>61</v>
      </c>
      <c r="T39" s="4" t="str">
        <f aca="false">IF(O39&lt;0.05,"YES","no")</f>
        <v>no</v>
      </c>
      <c r="U39" s="4" t="str">
        <f aca="false">IF(P39&lt;0.05,"YES","no")</f>
        <v>no</v>
      </c>
      <c r="V39" s="4" t="str">
        <f aca="false">IF(N39&gt;1,"YES","no")</f>
        <v>YES</v>
      </c>
    </row>
    <row r="40" customFormat="false" ht="15" hidden="false" customHeight="false" outlineLevel="0" collapsed="false">
      <c r="A40" s="4" t="s">
        <v>158</v>
      </c>
      <c r="B40" s="4"/>
      <c r="C40" s="4" t="s">
        <v>72</v>
      </c>
      <c r="D40" s="8" t="n">
        <v>611.14469</v>
      </c>
      <c r="E40" s="9" t="n">
        <v>10.174</v>
      </c>
      <c r="F40" s="10" t="n">
        <v>40267313.7874406</v>
      </c>
      <c r="G40" s="10" t="n">
        <v>10729976.5865429</v>
      </c>
      <c r="H40" s="10" t="n">
        <v>55903799.4254229</v>
      </c>
      <c r="I40" s="10" t="n">
        <v>7556098.21156769</v>
      </c>
      <c r="J40" s="10" t="n">
        <v>47374807.2592507</v>
      </c>
      <c r="K40" s="11" t="n">
        <v>1.38831707822684</v>
      </c>
      <c r="L40" s="11" t="n">
        <v>0.473337103177845</v>
      </c>
      <c r="M40" s="11" t="n">
        <v>0.673314695287031</v>
      </c>
      <c r="N40" s="11" t="n">
        <v>1.05641469351728</v>
      </c>
      <c r="O40" s="12" t="n">
        <v>0.0202358091315297</v>
      </c>
      <c r="P40" s="12" t="n">
        <v>0.35409133832332</v>
      </c>
      <c r="Q40" s="4" t="n">
        <f aca="false">RANK(N40,$N$7:$N$307,0)</f>
        <v>34</v>
      </c>
      <c r="R40" s="4" t="n">
        <f aca="false">RANK(O40,$O$7:$O$307,1)</f>
        <v>17</v>
      </c>
      <c r="S40" s="4" t="n">
        <f aca="false">RANK(J40,$J$7:$J$307,0)</f>
        <v>44</v>
      </c>
      <c r="T40" s="4" t="str">
        <f aca="false">IF(O40&lt;0.05,"YES","no")</f>
        <v>YES</v>
      </c>
      <c r="U40" s="4" t="str">
        <f aca="false">IF(P40&lt;0.05,"YES","no")</f>
        <v>no</v>
      </c>
      <c r="V40" s="4" t="str">
        <f aca="false">IF(N40&gt;1,"YES","no")</f>
        <v>YES</v>
      </c>
    </row>
    <row r="41" customFormat="false" ht="15" hidden="false" customHeight="false" outlineLevel="0" collapsed="false">
      <c r="A41" s="4" t="s">
        <v>173</v>
      </c>
      <c r="B41" s="4" t="s">
        <v>174</v>
      </c>
      <c r="C41" s="4" t="s">
        <v>61</v>
      </c>
      <c r="D41" s="8" t="n">
        <v>505.98835</v>
      </c>
      <c r="E41" s="9" t="n">
        <v>10.116</v>
      </c>
      <c r="F41" s="10" t="n">
        <v>71212168.7871115</v>
      </c>
      <c r="G41" s="10" t="n">
        <v>27744874.7811132</v>
      </c>
      <c r="H41" s="10" t="n">
        <v>46963098.0600746</v>
      </c>
      <c r="I41" s="10" t="n">
        <v>38086198.2771845</v>
      </c>
      <c r="J41" s="10" t="n">
        <v>60189863.9111856</v>
      </c>
      <c r="K41" s="11" t="n">
        <v>0.659481361963159</v>
      </c>
      <c r="L41" s="11" t="n">
        <v>-0.600596207788531</v>
      </c>
      <c r="M41" s="11" t="n">
        <v>0.377476860416713</v>
      </c>
      <c r="N41" s="11" t="n">
        <v>1.05358334292162</v>
      </c>
      <c r="O41" s="12" t="n">
        <v>0.273500882182672</v>
      </c>
      <c r="P41" s="12" t="n">
        <v>0.589747674995542</v>
      </c>
      <c r="Q41" s="4" t="n">
        <f aca="false">RANK(N41,$N$7:$N$307,0)</f>
        <v>35</v>
      </c>
      <c r="R41" s="4" t="n">
        <f aca="false">RANK(O41,$O$7:$O$307,1)</f>
        <v>139</v>
      </c>
      <c r="S41" s="4" t="n">
        <f aca="false">RANK(J41,$J$7:$J$307,0)</f>
        <v>40</v>
      </c>
      <c r="T41" s="4" t="str">
        <f aca="false">IF(O41&lt;0.05,"YES","no")</f>
        <v>no</v>
      </c>
      <c r="U41" s="4" t="str">
        <f aca="false">IF(P41&lt;0.05,"YES","no")</f>
        <v>no</v>
      </c>
      <c r="V41" s="4" t="str">
        <f aca="false">IF(N41&gt;1,"YES","no")</f>
        <v>YES</v>
      </c>
    </row>
    <row r="42" customFormat="false" ht="15" hidden="false" customHeight="false" outlineLevel="0" collapsed="false">
      <c r="A42" s="4" t="s">
        <v>87</v>
      </c>
      <c r="B42" s="4" t="s">
        <v>88</v>
      </c>
      <c r="C42" s="4" t="s">
        <v>61</v>
      </c>
      <c r="D42" s="8" t="n">
        <v>150.05829</v>
      </c>
      <c r="E42" s="9" t="n">
        <v>9.553</v>
      </c>
      <c r="F42" s="10" t="n">
        <v>82070426.6006266</v>
      </c>
      <c r="G42" s="10" t="n">
        <v>34061796.5577364</v>
      </c>
      <c r="H42" s="10" t="n">
        <v>106022076.960827</v>
      </c>
      <c r="I42" s="10" t="n">
        <v>24635322.8513993</v>
      </c>
      <c r="J42" s="10" t="n">
        <v>92957540.4007176</v>
      </c>
      <c r="K42" s="11" t="n">
        <v>1.29184264481473</v>
      </c>
      <c r="L42" s="11" t="n">
        <v>0.369430350704516</v>
      </c>
      <c r="M42" s="11" t="n">
        <v>0.399702752292468</v>
      </c>
      <c r="N42" s="11" t="n">
        <v>1.05238921975719</v>
      </c>
      <c r="O42" s="12" t="n">
        <v>0.210414102416828</v>
      </c>
      <c r="P42" s="12" t="n">
        <v>0.545793274011047</v>
      </c>
      <c r="Q42" s="4" t="n">
        <f aca="false">RANK(N42,$N$7:$N$307,0)</f>
        <v>36</v>
      </c>
      <c r="R42" s="4" t="n">
        <f aca="false">RANK(O42,$O$7:$O$307,1)</f>
        <v>112</v>
      </c>
      <c r="S42" s="4" t="n">
        <f aca="false">RANK(J42,$J$7:$J$307,0)</f>
        <v>31</v>
      </c>
      <c r="T42" s="4" t="str">
        <f aca="false">IF(O42&lt;0.05,"YES","no")</f>
        <v>no</v>
      </c>
      <c r="U42" s="4" t="str">
        <f aca="false">IF(P42&lt;0.05,"YES","no")</f>
        <v>no</v>
      </c>
      <c r="V42" s="4" t="str">
        <f aca="false">IF(N42&gt;1,"YES","no")</f>
        <v>YES</v>
      </c>
    </row>
    <row r="43" customFormat="false" ht="15" hidden="false" customHeight="false" outlineLevel="0" collapsed="false">
      <c r="A43" s="4" t="s">
        <v>66</v>
      </c>
      <c r="B43" s="4"/>
      <c r="C43" s="4" t="s">
        <v>61</v>
      </c>
      <c r="D43" s="8" t="n">
        <v>147.07637</v>
      </c>
      <c r="E43" s="9" t="n">
        <v>11.11</v>
      </c>
      <c r="F43" s="10" t="n">
        <v>386001508.798231</v>
      </c>
      <c r="G43" s="10" t="n">
        <v>49532539.3300303</v>
      </c>
      <c r="H43" s="10" t="n">
        <v>417921233.38273</v>
      </c>
      <c r="I43" s="10" t="n">
        <v>71661130.536338</v>
      </c>
      <c r="J43" s="10" t="n">
        <v>400510474.518458</v>
      </c>
      <c r="K43" s="11" t="n">
        <v>1.08269326377474</v>
      </c>
      <c r="L43" s="11" t="n">
        <v>0.114624573037711</v>
      </c>
      <c r="M43" s="11" t="n">
        <v>0.279431587633018</v>
      </c>
      <c r="N43" s="11" t="n">
        <v>0.992253656611387</v>
      </c>
      <c r="O43" s="12" t="n">
        <v>0.427673607194641</v>
      </c>
      <c r="P43" s="12" t="n">
        <v>0.665820888057596</v>
      </c>
      <c r="Q43" s="4" t="n">
        <f aca="false">RANK(N43,$N$7:$N$307,0)</f>
        <v>37</v>
      </c>
      <c r="R43" s="4" t="n">
        <f aca="false">RANK(O43,$O$7:$O$307,1)</f>
        <v>192</v>
      </c>
      <c r="S43" s="4" t="n">
        <f aca="false">RANK(J43,$J$7:$J$307,0)</f>
        <v>11</v>
      </c>
      <c r="T43" s="4" t="str">
        <f aca="false">IF(O43&lt;0.05,"YES","no")</f>
        <v>no</v>
      </c>
      <c r="U43" s="4" t="str">
        <f aca="false">IF(P43&lt;0.05,"YES","no")</f>
        <v>no</v>
      </c>
      <c r="V43" s="4" t="str">
        <f aca="false">IF(N43&gt;1,"YES","no")</f>
        <v>no</v>
      </c>
    </row>
    <row r="44" customFormat="false" ht="15" hidden="false" customHeight="false" outlineLevel="0" collapsed="false">
      <c r="A44" s="4" t="s">
        <v>193</v>
      </c>
      <c r="B44" s="4" t="s">
        <v>194</v>
      </c>
      <c r="C44" s="4" t="s">
        <v>72</v>
      </c>
      <c r="D44" s="8" t="n">
        <v>123.05519</v>
      </c>
      <c r="E44" s="9" t="n">
        <v>7.786</v>
      </c>
      <c r="F44" s="10" t="n">
        <v>38281476.9922158</v>
      </c>
      <c r="G44" s="10" t="n">
        <v>8931608.86806506</v>
      </c>
      <c r="H44" s="10" t="n">
        <v>51880688.8599374</v>
      </c>
      <c r="I44" s="10" t="n">
        <v>16248740.1797653</v>
      </c>
      <c r="J44" s="10" t="n">
        <v>44462936.9320893</v>
      </c>
      <c r="K44" s="11" t="n">
        <v>1.35524261173326</v>
      </c>
      <c r="L44" s="11" t="n">
        <v>0.438551141921023</v>
      </c>
      <c r="M44" s="11" t="n">
        <v>0.507369053179714</v>
      </c>
      <c r="N44" s="11" t="n">
        <v>0.989088273899904</v>
      </c>
      <c r="O44" s="12" t="n">
        <v>0.145706189752466</v>
      </c>
      <c r="P44" s="12" t="n">
        <v>0.522113846613004</v>
      </c>
      <c r="Q44" s="4" t="n">
        <f aca="false">RANK(N44,$N$7:$N$307,0)</f>
        <v>38</v>
      </c>
      <c r="R44" s="4" t="n">
        <f aca="false">RANK(O44,$O$7:$O$307,1)</f>
        <v>84</v>
      </c>
      <c r="S44" s="4" t="n">
        <f aca="false">RANK(J44,$J$7:$J$307,0)</f>
        <v>45</v>
      </c>
      <c r="T44" s="4" t="str">
        <f aca="false">IF(O44&lt;0.05,"YES","no")</f>
        <v>no</v>
      </c>
      <c r="U44" s="4" t="str">
        <f aca="false">IF(P44&lt;0.05,"YES","no")</f>
        <v>no</v>
      </c>
      <c r="V44" s="4" t="str">
        <f aca="false">IF(N44&gt;1,"YES","no")</f>
        <v>no</v>
      </c>
    </row>
    <row r="45" customFormat="false" ht="15" hidden="false" customHeight="false" outlineLevel="0" collapsed="false">
      <c r="A45" s="4" t="s">
        <v>94</v>
      </c>
      <c r="B45" s="4"/>
      <c r="C45" s="4" t="s">
        <v>61</v>
      </c>
      <c r="D45" s="8" t="n">
        <v>144.10188</v>
      </c>
      <c r="E45" s="9" t="n">
        <v>10.062</v>
      </c>
      <c r="F45" s="10" t="n">
        <v>184402360.800041</v>
      </c>
      <c r="G45" s="10" t="n">
        <v>34448232.2397981</v>
      </c>
      <c r="H45" s="10" t="n">
        <v>207497159.199113</v>
      </c>
      <c r="I45" s="10" t="n">
        <v>33920150.9953771</v>
      </c>
      <c r="J45" s="10" t="n">
        <v>194899996.435983</v>
      </c>
      <c r="K45" s="11" t="n">
        <v>1.12524133801147</v>
      </c>
      <c r="L45" s="11" t="n">
        <v>0.170234459052734</v>
      </c>
      <c r="M45" s="11" t="n">
        <v>0.348307193354859</v>
      </c>
      <c r="N45" s="11" t="n">
        <v>0.972558899937369</v>
      </c>
      <c r="O45" s="12" t="n">
        <v>0.294129807895595</v>
      </c>
      <c r="P45" s="12" t="n">
        <v>0.610572911562579</v>
      </c>
      <c r="Q45" s="4" t="n">
        <f aca="false">RANK(N45,$N$7:$N$307,0)</f>
        <v>39</v>
      </c>
      <c r="R45" s="4" t="n">
        <f aca="false">RANK(O45,$O$7:$O$307,1)</f>
        <v>145</v>
      </c>
      <c r="S45" s="4" t="n">
        <f aca="false">RANK(J45,$J$7:$J$307,0)</f>
        <v>19</v>
      </c>
      <c r="T45" s="4" t="str">
        <f aca="false">IF(O45&lt;0.05,"YES","no")</f>
        <v>no</v>
      </c>
      <c r="U45" s="4" t="str">
        <f aca="false">IF(P45&lt;0.05,"YES","no")</f>
        <v>no</v>
      </c>
      <c r="V45" s="4" t="str">
        <f aca="false">IF(N45&gt;1,"YES","no")</f>
        <v>no</v>
      </c>
    </row>
    <row r="46" customFormat="false" ht="15" hidden="false" customHeight="false" outlineLevel="0" collapsed="false">
      <c r="A46" s="4" t="s">
        <v>144</v>
      </c>
      <c r="B46" s="4"/>
      <c r="C46" s="4" t="s">
        <v>61</v>
      </c>
      <c r="D46" s="8" t="n">
        <v>162.07603</v>
      </c>
      <c r="E46" s="9" t="n">
        <v>9.989</v>
      </c>
      <c r="F46" s="10" t="n">
        <v>27732068.8796336</v>
      </c>
      <c r="G46" s="10" t="n">
        <v>9518949.8985484</v>
      </c>
      <c r="H46" s="10" t="n">
        <v>41520881.3248393</v>
      </c>
      <c r="I46" s="10" t="n">
        <v>12795985.3419376</v>
      </c>
      <c r="J46" s="10" t="n">
        <v>33999710.9001817</v>
      </c>
      <c r="K46" s="11" t="n">
        <v>1.49721542612106</v>
      </c>
      <c r="L46" s="11" t="n">
        <v>0.582281817813315</v>
      </c>
      <c r="M46" s="11" t="n">
        <v>0.564623092277525</v>
      </c>
      <c r="N46" s="11" t="n">
        <v>0.930133790181807</v>
      </c>
      <c r="O46" s="12" t="n">
        <v>0.0847874767487061</v>
      </c>
      <c r="P46" s="12" t="n">
        <v>0.483522015532954</v>
      </c>
      <c r="Q46" s="4" t="n">
        <f aca="false">RANK(N46,$N$7:$N$307,0)</f>
        <v>40</v>
      </c>
      <c r="R46" s="4" t="n">
        <f aca="false">RANK(O46,$O$7:$O$307,1)</f>
        <v>50</v>
      </c>
      <c r="S46" s="4" t="n">
        <f aca="false">RANK(J46,$J$7:$J$307,0)</f>
        <v>59</v>
      </c>
      <c r="T46" s="4" t="str">
        <f aca="false">IF(O46&lt;0.05,"YES","no")</f>
        <v>no</v>
      </c>
      <c r="U46" s="4" t="str">
        <f aca="false">IF(P46&lt;0.05,"YES","no")</f>
        <v>no</v>
      </c>
      <c r="V46" s="4" t="str">
        <f aca="false">IF(N46&gt;1,"YES","no")</f>
        <v>no</v>
      </c>
    </row>
    <row r="47" customFormat="false" ht="15" hidden="false" customHeight="false" outlineLevel="0" collapsed="false">
      <c r="A47" s="4" t="s">
        <v>106</v>
      </c>
      <c r="B47" s="4" t="s">
        <v>107</v>
      </c>
      <c r="C47" s="4" t="s">
        <v>72</v>
      </c>
      <c r="D47" s="8" t="n">
        <v>279.23253</v>
      </c>
      <c r="E47" s="9" t="n">
        <v>3.685</v>
      </c>
      <c r="F47" s="10" t="n">
        <v>101621163.708738</v>
      </c>
      <c r="G47" s="10" t="n">
        <v>64048170.257714</v>
      </c>
      <c r="H47" s="10" t="n">
        <v>84623633.7597085</v>
      </c>
      <c r="I47" s="10" t="n">
        <v>61422124.0872884</v>
      </c>
      <c r="J47" s="10" t="n">
        <v>93895013.7319065</v>
      </c>
      <c r="K47" s="11" t="n">
        <v>0.832736318610293</v>
      </c>
      <c r="L47" s="11" t="n">
        <v>-0.264068348461738</v>
      </c>
      <c r="M47" s="11" t="n">
        <v>0.147150600843161</v>
      </c>
      <c r="N47" s="11" t="n">
        <v>0.920017542052128</v>
      </c>
      <c r="O47" s="12" t="n">
        <v>0.664874414276827</v>
      </c>
      <c r="P47" s="12" t="n">
        <v>0.823568718919033</v>
      </c>
      <c r="Q47" s="4" t="n">
        <f aca="false">RANK(N47,$N$7:$N$307,0)</f>
        <v>41</v>
      </c>
      <c r="R47" s="4" t="n">
        <f aca="false">RANK(O47,$O$7:$O$307,1)</f>
        <v>243</v>
      </c>
      <c r="S47" s="4" t="n">
        <f aca="false">RANK(J47,$J$7:$J$307,0)</f>
        <v>30</v>
      </c>
      <c r="T47" s="4" t="str">
        <f aca="false">IF(O47&lt;0.05,"YES","no")</f>
        <v>no</v>
      </c>
      <c r="U47" s="4" t="str">
        <f aca="false">IF(P47&lt;0.05,"YES","no")</f>
        <v>no</v>
      </c>
      <c r="V47" s="4" t="str">
        <f aca="false">IF(N47&gt;1,"YES","no")</f>
        <v>no</v>
      </c>
    </row>
    <row r="48" customFormat="false" ht="15" hidden="false" customHeight="false" outlineLevel="0" collapsed="false">
      <c r="A48" s="4" t="s">
        <v>154</v>
      </c>
      <c r="B48" s="4"/>
      <c r="C48" s="4" t="s">
        <v>61</v>
      </c>
      <c r="D48" s="8" t="n">
        <v>134.04719</v>
      </c>
      <c r="E48" s="9" t="n">
        <v>7.989</v>
      </c>
      <c r="F48" s="10" t="n">
        <v>29590362.2796602</v>
      </c>
      <c r="G48" s="10" t="n">
        <v>5042860.56649075</v>
      </c>
      <c r="H48" s="10" t="n">
        <v>40603726.1597971</v>
      </c>
      <c r="I48" s="10" t="n">
        <v>7146057.43893354</v>
      </c>
      <c r="J48" s="10" t="n">
        <v>34596436.7706315</v>
      </c>
      <c r="K48" s="11" t="n">
        <v>1.37219429002082</v>
      </c>
      <c r="L48" s="11" t="n">
        <v>0.456484768248742</v>
      </c>
      <c r="M48" s="11" t="n">
        <v>0.706778659853456</v>
      </c>
      <c r="N48" s="11" t="n">
        <v>0.909741751055402</v>
      </c>
      <c r="O48" s="12" t="n">
        <v>0.0229409854112394</v>
      </c>
      <c r="P48" s="12" t="n">
        <v>0.35409133832332</v>
      </c>
      <c r="Q48" s="4" t="n">
        <f aca="false">RANK(N48,$N$7:$N$307,0)</f>
        <v>42</v>
      </c>
      <c r="R48" s="4" t="n">
        <f aca="false">RANK(O48,$O$7:$O$307,1)</f>
        <v>18</v>
      </c>
      <c r="S48" s="4" t="n">
        <f aca="false">RANK(J48,$J$7:$J$307,0)</f>
        <v>56</v>
      </c>
      <c r="T48" s="4" t="str">
        <f aca="false">IF(O48&lt;0.05,"YES","no")</f>
        <v>YES</v>
      </c>
      <c r="U48" s="4" t="str">
        <f aca="false">IF(P48&lt;0.05,"YES","no")</f>
        <v>no</v>
      </c>
      <c r="V48" s="4" t="str">
        <f aca="false">IF(N48&gt;1,"YES","no")</f>
        <v>no</v>
      </c>
    </row>
    <row r="49" customFormat="false" ht="15" hidden="false" customHeight="false" outlineLevel="0" collapsed="false">
      <c r="A49" s="4" t="s">
        <v>133</v>
      </c>
      <c r="B49" s="4"/>
      <c r="C49" s="4" t="s">
        <v>61</v>
      </c>
      <c r="D49" s="8" t="n">
        <v>349.05452</v>
      </c>
      <c r="E49" s="9" t="n">
        <v>9.655</v>
      </c>
      <c r="F49" s="10" t="n">
        <v>56953336.7304792</v>
      </c>
      <c r="G49" s="10" t="n">
        <v>46166171.7350463</v>
      </c>
      <c r="H49" s="10" t="n">
        <v>81194631.21367</v>
      </c>
      <c r="I49" s="10" t="n">
        <v>39417603.9262095</v>
      </c>
      <c r="J49" s="10" t="n">
        <v>67972106.9501114</v>
      </c>
      <c r="K49" s="11" t="n">
        <v>1.42563431529759</v>
      </c>
      <c r="L49" s="11" t="n">
        <v>0.511603968343015</v>
      </c>
      <c r="M49" s="11" t="n">
        <v>0.294535065289474</v>
      </c>
      <c r="N49" s="11" t="n">
        <v>0.881139070180692</v>
      </c>
      <c r="O49" s="12" t="n">
        <v>0.372121590113931</v>
      </c>
      <c r="P49" s="12" t="n">
        <v>0.629261790024118</v>
      </c>
      <c r="Q49" s="4" t="n">
        <f aca="false">RANK(N49,$N$7:$N$307,0)</f>
        <v>43</v>
      </c>
      <c r="R49" s="4" t="n">
        <f aca="false">RANK(O49,$O$7:$O$307,1)</f>
        <v>178</v>
      </c>
      <c r="S49" s="4" t="n">
        <f aca="false">RANK(J49,$J$7:$J$307,0)</f>
        <v>34</v>
      </c>
      <c r="T49" s="4" t="str">
        <f aca="false">IF(O49&lt;0.05,"YES","no")</f>
        <v>no</v>
      </c>
      <c r="U49" s="4" t="str">
        <f aca="false">IF(P49&lt;0.05,"YES","no")</f>
        <v>no</v>
      </c>
      <c r="V49" s="4" t="str">
        <f aca="false">IF(N49&gt;1,"YES","no")</f>
        <v>no</v>
      </c>
    </row>
    <row r="50" customFormat="false" ht="15" hidden="false" customHeight="false" outlineLevel="0" collapsed="false">
      <c r="A50" s="4" t="s">
        <v>181</v>
      </c>
      <c r="B50" s="4"/>
      <c r="C50" s="4" t="s">
        <v>72</v>
      </c>
      <c r="D50" s="8" t="n">
        <v>103.03887</v>
      </c>
      <c r="E50" s="9" t="n">
        <v>11.251</v>
      </c>
      <c r="F50" s="10" t="n">
        <v>38801602.1266336</v>
      </c>
      <c r="G50" s="10" t="n">
        <v>5699387.92048178</v>
      </c>
      <c r="H50" s="10" t="n">
        <v>48269351.2219125</v>
      </c>
      <c r="I50" s="10" t="n">
        <v>2572205.13621662</v>
      </c>
      <c r="J50" s="10" t="n">
        <v>43105124.4426694</v>
      </c>
      <c r="K50" s="11" t="n">
        <v>1.24400407654251</v>
      </c>
      <c r="L50" s="11" t="n">
        <v>0.314991213119657</v>
      </c>
      <c r="M50" s="11" t="n">
        <v>0.751091042902502</v>
      </c>
      <c r="N50" s="11" t="n">
        <v>0.88015812757244</v>
      </c>
      <c r="O50" s="12" t="n">
        <v>0.00780344722436819</v>
      </c>
      <c r="P50" s="12" t="n">
        <v>0.195736467877902</v>
      </c>
      <c r="Q50" s="4" t="n">
        <f aca="false">RANK(N50,$N$7:$N$307,0)</f>
        <v>44</v>
      </c>
      <c r="R50" s="4" t="n">
        <f aca="false">RANK(O50,$O$7:$O$307,1)</f>
        <v>12</v>
      </c>
      <c r="S50" s="4" t="n">
        <f aca="false">RANK(J50,$J$7:$J$307,0)</f>
        <v>46</v>
      </c>
      <c r="T50" s="4" t="str">
        <f aca="false">IF(O50&lt;0.05,"YES","no")</f>
        <v>YES</v>
      </c>
      <c r="U50" s="4" t="str">
        <f aca="false">IF(P50&lt;0.05,"YES","no")</f>
        <v>no</v>
      </c>
      <c r="V50" s="4" t="str">
        <f aca="false">IF(N50&gt;1,"YES","no")</f>
        <v>no</v>
      </c>
    </row>
    <row r="51" customFormat="false" ht="15" hidden="false" customHeight="false" outlineLevel="0" collapsed="false">
      <c r="A51" s="4" t="s">
        <v>146</v>
      </c>
      <c r="B51" s="4"/>
      <c r="C51" s="4" t="s">
        <v>61</v>
      </c>
      <c r="D51" s="8" t="n">
        <v>112.05047</v>
      </c>
      <c r="E51" s="9" t="n">
        <v>9.687</v>
      </c>
      <c r="F51" s="10" t="n">
        <v>9916370.24551801</v>
      </c>
      <c r="G51" s="10" t="n">
        <v>2240651.19737877</v>
      </c>
      <c r="H51" s="10" t="n">
        <v>19560064.3711906</v>
      </c>
      <c r="I51" s="10" t="n">
        <v>7128192.15976903</v>
      </c>
      <c r="J51" s="10" t="n">
        <v>14299867.5753692</v>
      </c>
      <c r="K51" s="11" t="n">
        <v>1.97250242648325</v>
      </c>
      <c r="L51" s="11" t="n">
        <v>0.980027074978</v>
      </c>
      <c r="M51" s="11" t="n">
        <v>0.725421833798227</v>
      </c>
      <c r="N51" s="11" t="n">
        <v>0.874170997958635</v>
      </c>
      <c r="O51" s="12" t="n">
        <v>0.0364101455783574</v>
      </c>
      <c r="P51" s="12" t="n">
        <v>0.391409064967342</v>
      </c>
      <c r="Q51" s="4" t="n">
        <f aca="false">RANK(N51,$N$7:$N$307,0)</f>
        <v>45</v>
      </c>
      <c r="R51" s="4" t="n">
        <f aca="false">RANK(O51,$O$7:$O$307,1)</f>
        <v>28</v>
      </c>
      <c r="S51" s="4" t="n">
        <f aca="false">RANK(J51,$J$7:$J$307,0)</f>
        <v>91</v>
      </c>
      <c r="T51" s="4" t="str">
        <f aca="false">IF(O51&lt;0.05,"YES","no")</f>
        <v>YES</v>
      </c>
      <c r="U51" s="4" t="str">
        <f aca="false">IF(P51&lt;0.05,"YES","no")</f>
        <v>no</v>
      </c>
      <c r="V51" s="4" t="str">
        <f aca="false">IF(N51&gt;1,"YES","no")</f>
        <v>no</v>
      </c>
    </row>
    <row r="52" customFormat="false" ht="15" hidden="false" customHeight="false" outlineLevel="0" collapsed="false">
      <c r="A52" s="4" t="s">
        <v>81</v>
      </c>
      <c r="B52" s="4"/>
      <c r="C52" s="4" t="s">
        <v>61</v>
      </c>
      <c r="D52" s="8" t="n">
        <v>184.07327</v>
      </c>
      <c r="E52" s="9" t="n">
        <v>11.86</v>
      </c>
      <c r="F52" s="10" t="n">
        <v>56305241.5774115</v>
      </c>
      <c r="G52" s="10" t="n">
        <v>40441005.9078641</v>
      </c>
      <c r="H52" s="10" t="n">
        <v>76270122.2764634</v>
      </c>
      <c r="I52" s="10" t="n">
        <v>28409380.1746378</v>
      </c>
      <c r="J52" s="10" t="n">
        <v>65380187.3497078</v>
      </c>
      <c r="K52" s="11" t="n">
        <v>1.35458298623234</v>
      </c>
      <c r="L52" s="11" t="n">
        <v>0.437848780515525</v>
      </c>
      <c r="M52" s="11" t="n">
        <v>0.294985474428812</v>
      </c>
      <c r="N52" s="11" t="n">
        <v>0.86218867379935</v>
      </c>
      <c r="O52" s="12" t="n">
        <v>0.363440070387561</v>
      </c>
      <c r="P52" s="12" t="n">
        <v>0.625116921066605</v>
      </c>
      <c r="Q52" s="4" t="n">
        <f aca="false">RANK(N52,$N$7:$N$307,0)</f>
        <v>46</v>
      </c>
      <c r="R52" s="4" t="n">
        <f aca="false">RANK(O52,$O$7:$O$307,1)</f>
        <v>175</v>
      </c>
      <c r="S52" s="4" t="n">
        <f aca="false">RANK(J52,$J$7:$J$307,0)</f>
        <v>36</v>
      </c>
      <c r="T52" s="4" t="str">
        <f aca="false">IF(O52&lt;0.05,"YES","no")</f>
        <v>no</v>
      </c>
      <c r="U52" s="4" t="str">
        <f aca="false">IF(P52&lt;0.05,"YES","no")</f>
        <v>no</v>
      </c>
      <c r="V52" s="4" t="str">
        <f aca="false">IF(N52&gt;1,"YES","no")</f>
        <v>no</v>
      </c>
    </row>
    <row r="53" customFormat="false" ht="15" hidden="false" customHeight="false" outlineLevel="0" collapsed="false">
      <c r="A53" s="4" t="s">
        <v>136</v>
      </c>
      <c r="B53" s="4" t="s">
        <v>137</v>
      </c>
      <c r="C53" s="4" t="s">
        <v>72</v>
      </c>
      <c r="D53" s="8" t="n">
        <v>281.24811</v>
      </c>
      <c r="E53" s="9" t="n">
        <v>3.644</v>
      </c>
      <c r="F53" s="10" t="n">
        <v>50216696.1269605</v>
      </c>
      <c r="G53" s="10" t="n">
        <v>33522852.5062481</v>
      </c>
      <c r="H53" s="10" t="n">
        <v>34247231.6899239</v>
      </c>
      <c r="I53" s="10" t="n">
        <v>23735776.8032583</v>
      </c>
      <c r="J53" s="10" t="n">
        <v>42957848.6555802</v>
      </c>
      <c r="K53" s="11" t="n">
        <v>0.681988946531613</v>
      </c>
      <c r="L53" s="11" t="n">
        <v>-0.552179738208672</v>
      </c>
      <c r="M53" s="11" t="n">
        <v>0.284915131459213</v>
      </c>
      <c r="N53" s="11" t="n">
        <v>0.858923368917614</v>
      </c>
      <c r="O53" s="12" t="n">
        <v>0.381010591166306</v>
      </c>
      <c r="P53" s="12" t="n">
        <v>0.631541534538384</v>
      </c>
      <c r="Q53" s="4" t="n">
        <f aca="false">RANK(N53,$N$7:$N$307,0)</f>
        <v>47</v>
      </c>
      <c r="R53" s="4" t="n">
        <f aca="false">RANK(O53,$O$7:$O$307,1)</f>
        <v>180</v>
      </c>
      <c r="S53" s="4" t="n">
        <f aca="false">RANK(J53,$J$7:$J$307,0)</f>
        <v>47</v>
      </c>
      <c r="T53" s="4" t="str">
        <f aca="false">IF(O53&lt;0.05,"YES","no")</f>
        <v>no</v>
      </c>
      <c r="U53" s="4" t="str">
        <f aca="false">IF(P53&lt;0.05,"YES","no")</f>
        <v>no</v>
      </c>
      <c r="V53" s="4" t="str">
        <f aca="false">IF(N53&gt;1,"YES","no")</f>
        <v>no</v>
      </c>
    </row>
    <row r="54" customFormat="false" ht="15" hidden="false" customHeight="false" outlineLevel="0" collapsed="false">
      <c r="A54" s="4" t="s">
        <v>115</v>
      </c>
      <c r="B54" s="4"/>
      <c r="C54" s="4" t="s">
        <v>61</v>
      </c>
      <c r="D54" s="8" t="n">
        <v>175.0248</v>
      </c>
      <c r="E54" s="9" t="n">
        <v>9.306</v>
      </c>
      <c r="F54" s="10" t="n">
        <v>54192577.0552983</v>
      </c>
      <c r="G54" s="10" t="n">
        <v>6405601.92608959</v>
      </c>
      <c r="H54" s="10" t="n">
        <v>65022328.2880008</v>
      </c>
      <c r="I54" s="10" t="n">
        <v>8565644.2302857</v>
      </c>
      <c r="J54" s="10" t="n">
        <v>59115191.2519813</v>
      </c>
      <c r="K54" s="11" t="n">
        <v>1.1998382771436</v>
      </c>
      <c r="L54" s="11" t="n">
        <v>0.262839962095226</v>
      </c>
      <c r="M54" s="11" t="n">
        <v>0.625132967577942</v>
      </c>
      <c r="N54" s="11" t="n">
        <v>0.858358647005705</v>
      </c>
      <c r="O54" s="12" t="n">
        <v>0.0506534087409117</v>
      </c>
      <c r="P54" s="12" t="n">
        <v>0.462020485788316</v>
      </c>
      <c r="Q54" s="4" t="n">
        <f aca="false">RANK(N54,$N$7:$N$307,0)</f>
        <v>48</v>
      </c>
      <c r="R54" s="4" t="n">
        <f aca="false">RANK(O54,$O$7:$O$307,1)</f>
        <v>33</v>
      </c>
      <c r="S54" s="4" t="n">
        <f aca="false">RANK(J54,$J$7:$J$307,0)</f>
        <v>41</v>
      </c>
      <c r="T54" s="4" t="str">
        <f aca="false">IF(O54&lt;0.05,"YES","no")</f>
        <v>no</v>
      </c>
      <c r="U54" s="4" t="str">
        <f aca="false">IF(P54&lt;0.05,"YES","no")</f>
        <v>no</v>
      </c>
      <c r="V54" s="4" t="str">
        <f aca="false">IF(N54&gt;1,"YES","no")</f>
        <v>no</v>
      </c>
    </row>
    <row r="55" customFormat="false" ht="15" hidden="false" customHeight="false" outlineLevel="0" collapsed="false">
      <c r="A55" s="4" t="s">
        <v>122</v>
      </c>
      <c r="B55" s="4"/>
      <c r="C55" s="4" t="s">
        <v>61</v>
      </c>
      <c r="D55" s="8" t="n">
        <v>117.01927</v>
      </c>
      <c r="E55" s="9" t="n">
        <v>9.349</v>
      </c>
      <c r="F55" s="10" t="n">
        <v>126338334.911153</v>
      </c>
      <c r="G55" s="10" t="n">
        <v>49902054.8990742</v>
      </c>
      <c r="H55" s="10" t="n">
        <v>133740429.171503</v>
      </c>
      <c r="I55" s="10" t="n">
        <v>62125587.1238535</v>
      </c>
      <c r="J55" s="10" t="n">
        <v>129702923.211312</v>
      </c>
      <c r="K55" s="11" t="n">
        <v>1.05858945557226</v>
      </c>
      <c r="L55" s="11" t="n">
        <v>0.0821431887194964</v>
      </c>
      <c r="M55" s="11" t="n">
        <v>0.0730026662711457</v>
      </c>
      <c r="N55" s="11" t="n">
        <v>0.828407037538926</v>
      </c>
      <c r="O55" s="12" t="n">
        <v>0.835477355681253</v>
      </c>
      <c r="P55" s="12" t="n">
        <v>0.907187464413559</v>
      </c>
      <c r="Q55" s="4" t="n">
        <f aca="false">RANK(N55,$N$7:$N$307,0)</f>
        <v>49</v>
      </c>
      <c r="R55" s="4" t="n">
        <f aca="false">RANK(O55,$O$7:$O$307,1)</f>
        <v>274</v>
      </c>
      <c r="S55" s="4" t="n">
        <f aca="false">RANK(J55,$J$7:$J$307,0)</f>
        <v>24</v>
      </c>
      <c r="T55" s="4" t="str">
        <f aca="false">IF(O55&lt;0.05,"YES","no")</f>
        <v>no</v>
      </c>
      <c r="U55" s="4" t="str">
        <f aca="false">IF(P55&lt;0.05,"YES","no")</f>
        <v>no</v>
      </c>
      <c r="V55" s="4" t="str">
        <f aca="false">IF(N55&gt;1,"YES","no")</f>
        <v>no</v>
      </c>
    </row>
    <row r="56" customFormat="false" ht="15" hidden="false" customHeight="false" outlineLevel="0" collapsed="false">
      <c r="A56" s="4" t="s">
        <v>103</v>
      </c>
      <c r="B56" s="4"/>
      <c r="C56" s="4" t="s">
        <v>61</v>
      </c>
      <c r="D56" s="8" t="n">
        <v>147.11272</v>
      </c>
      <c r="E56" s="9" t="n">
        <v>18.232</v>
      </c>
      <c r="F56" s="10" t="n">
        <v>42190744.2087351</v>
      </c>
      <c r="G56" s="10" t="n">
        <v>18057805.7494549</v>
      </c>
      <c r="H56" s="10" t="n">
        <v>56515730.3838331</v>
      </c>
      <c r="I56" s="10" t="n">
        <v>15675178.0250201</v>
      </c>
      <c r="J56" s="10" t="n">
        <v>48702101.5610524</v>
      </c>
      <c r="K56" s="11" t="n">
        <v>1.33952911814559</v>
      </c>
      <c r="L56" s="11" t="n">
        <v>0.421725942246105</v>
      </c>
      <c r="M56" s="11" t="n">
        <v>0.41998050111305</v>
      </c>
      <c r="N56" s="11" t="n">
        <v>0.825040435868194</v>
      </c>
      <c r="O56" s="12" t="n">
        <v>0.19280422986429</v>
      </c>
      <c r="P56" s="12" t="n">
        <v>0.545793274011047</v>
      </c>
      <c r="Q56" s="4" t="n">
        <f aca="false">RANK(N56,$N$7:$N$307,0)</f>
        <v>50</v>
      </c>
      <c r="R56" s="4" t="n">
        <f aca="false">RANK(O56,$O$7:$O$307,1)</f>
        <v>103</v>
      </c>
      <c r="S56" s="4" t="n">
        <f aca="false">RANK(J56,$J$7:$J$307,0)</f>
        <v>42</v>
      </c>
      <c r="T56" s="4" t="str">
        <f aca="false">IF(O56&lt;0.05,"YES","no")</f>
        <v>no</v>
      </c>
      <c r="U56" s="4" t="str">
        <f aca="false">IF(P56&lt;0.05,"YES","no")</f>
        <v>no</v>
      </c>
      <c r="V56" s="4" t="str">
        <f aca="false">IF(N56&gt;1,"YES","no")</f>
        <v>no</v>
      </c>
    </row>
    <row r="57" customFormat="false" ht="15" hidden="false" customHeight="false" outlineLevel="0" collapsed="false">
      <c r="A57" s="4" t="s">
        <v>129</v>
      </c>
      <c r="B57" s="4"/>
      <c r="C57" s="4" t="s">
        <v>61</v>
      </c>
      <c r="D57" s="8" t="n">
        <v>191.01965</v>
      </c>
      <c r="E57" s="9" t="n">
        <v>11.31</v>
      </c>
      <c r="F57" s="10" t="n">
        <v>12114544.3812586</v>
      </c>
      <c r="G57" s="10" t="n">
        <v>3350052.63759502</v>
      </c>
      <c r="H57" s="10" t="n">
        <v>5288142.02653792</v>
      </c>
      <c r="I57" s="10" t="n">
        <v>2510713.40577046</v>
      </c>
      <c r="J57" s="10" t="n">
        <v>9011634.22002193</v>
      </c>
      <c r="K57" s="11" t="n">
        <v>0.436511837351371</v>
      </c>
      <c r="L57" s="11" t="n">
        <v>-1.19590731742082</v>
      </c>
      <c r="M57" s="11" t="n">
        <v>0.780885272333604</v>
      </c>
      <c r="N57" s="11" t="n">
        <v>0.787859681686213</v>
      </c>
      <c r="O57" s="12" t="n">
        <v>0.00391176625041798</v>
      </c>
      <c r="P57" s="12" t="n">
        <v>0.147180205171976</v>
      </c>
      <c r="Q57" s="4" t="n">
        <f aca="false">RANK(N57,$N$7:$N$307,0)</f>
        <v>51</v>
      </c>
      <c r="R57" s="4" t="n">
        <f aca="false">RANK(O57,$O$7:$O$307,1)</f>
        <v>8</v>
      </c>
      <c r="S57" s="4" t="n">
        <f aca="false">RANK(J57,$J$7:$J$307,0)</f>
        <v>100</v>
      </c>
      <c r="T57" s="4" t="str">
        <f aca="false">IF(O57&lt;0.05,"YES","no")</f>
        <v>YES</v>
      </c>
      <c r="U57" s="4" t="str">
        <f aca="false">IF(P57&lt;0.05,"YES","no")</f>
        <v>no</v>
      </c>
      <c r="V57" s="4" t="str">
        <f aca="false">IF(N57&gt;1,"YES","no")</f>
        <v>no</v>
      </c>
    </row>
    <row r="58" customFormat="false" ht="15" hidden="false" customHeight="false" outlineLevel="0" collapsed="false">
      <c r="A58" s="4" t="s">
        <v>116</v>
      </c>
      <c r="B58" s="4" t="s">
        <v>117</v>
      </c>
      <c r="C58" s="4" t="s">
        <v>61</v>
      </c>
      <c r="D58" s="8" t="n">
        <v>120.0655</v>
      </c>
      <c r="E58" s="9" t="n">
        <v>10.871</v>
      </c>
      <c r="F58" s="10" t="n">
        <v>34052536.7142773</v>
      </c>
      <c r="G58" s="10" t="n">
        <v>5753520.64466933</v>
      </c>
      <c r="H58" s="10" t="n">
        <v>43453697.841226</v>
      </c>
      <c r="I58" s="10" t="n">
        <v>8387053.6038934</v>
      </c>
      <c r="J58" s="10" t="n">
        <v>38325791.7719812</v>
      </c>
      <c r="K58" s="11" t="n">
        <v>1.2760781437762</v>
      </c>
      <c r="L58" s="11" t="n">
        <v>0.351716678778685</v>
      </c>
      <c r="M58" s="11" t="n">
        <v>0.591935783552053</v>
      </c>
      <c r="N58" s="11" t="n">
        <v>0.784727956399203</v>
      </c>
      <c r="O58" s="12" t="n">
        <v>0.0718197378498373</v>
      </c>
      <c r="P58" s="12" t="n">
        <v>0.473393770420731</v>
      </c>
      <c r="Q58" s="4" t="n">
        <f aca="false">RANK(N58,$N$7:$N$307,0)</f>
        <v>52</v>
      </c>
      <c r="R58" s="4" t="n">
        <f aca="false">RANK(O58,$O$7:$O$307,1)</f>
        <v>44</v>
      </c>
      <c r="S58" s="4" t="n">
        <f aca="false">RANK(J58,$J$7:$J$307,0)</f>
        <v>50</v>
      </c>
      <c r="T58" s="4" t="str">
        <f aca="false">IF(O58&lt;0.05,"YES","no")</f>
        <v>no</v>
      </c>
      <c r="U58" s="4" t="str">
        <f aca="false">IF(P58&lt;0.05,"YES","no")</f>
        <v>no</v>
      </c>
      <c r="V58" s="4" t="str">
        <f aca="false">IF(N58&gt;1,"YES","no")</f>
        <v>no</v>
      </c>
    </row>
    <row r="59" customFormat="false" ht="15" hidden="false" customHeight="false" outlineLevel="0" collapsed="false">
      <c r="A59" s="4" t="s">
        <v>226</v>
      </c>
      <c r="B59" s="4"/>
      <c r="C59" s="4" t="s">
        <v>61</v>
      </c>
      <c r="D59" s="8" t="n">
        <v>786.16461</v>
      </c>
      <c r="E59" s="9" t="n">
        <v>7.79</v>
      </c>
      <c r="F59" s="10" t="n">
        <v>29865029.0111117</v>
      </c>
      <c r="G59" s="10" t="n">
        <v>11615692.4179174</v>
      </c>
      <c r="H59" s="10" t="n">
        <v>40921688.6486216</v>
      </c>
      <c r="I59" s="10" t="n">
        <v>12937816.8782636</v>
      </c>
      <c r="J59" s="10" t="n">
        <v>34890783.391798</v>
      </c>
      <c r="K59" s="11" t="n">
        <v>1.37022095754189</v>
      </c>
      <c r="L59" s="11" t="n">
        <v>0.454408556431252</v>
      </c>
      <c r="M59" s="11" t="n">
        <v>0.445806939618065</v>
      </c>
      <c r="N59" s="11" t="n">
        <v>0.765309429980996</v>
      </c>
      <c r="O59" s="12" t="n">
        <v>0.176704207066264</v>
      </c>
      <c r="P59" s="12" t="n">
        <v>0.545793274011047</v>
      </c>
      <c r="Q59" s="4" t="n">
        <f aca="false">RANK(N59,$N$7:$N$307,0)</f>
        <v>53</v>
      </c>
      <c r="R59" s="4" t="n">
        <f aca="false">RANK(O59,$O$7:$O$307,1)</f>
        <v>95</v>
      </c>
      <c r="S59" s="4" t="n">
        <f aca="false">RANK(J59,$J$7:$J$307,0)</f>
        <v>54</v>
      </c>
      <c r="T59" s="4" t="str">
        <f aca="false">IF(O59&lt;0.05,"YES","no")</f>
        <v>no</v>
      </c>
      <c r="U59" s="4" t="str">
        <f aca="false">IF(P59&lt;0.05,"YES","no")</f>
        <v>no</v>
      </c>
      <c r="V59" s="4" t="str">
        <f aca="false">IF(N59&gt;1,"YES","no")</f>
        <v>no</v>
      </c>
    </row>
    <row r="60" customFormat="false" ht="15" hidden="false" customHeight="false" outlineLevel="0" collapsed="false">
      <c r="A60" s="4" t="s">
        <v>180</v>
      </c>
      <c r="B60" s="4"/>
      <c r="C60" s="4" t="s">
        <v>72</v>
      </c>
      <c r="D60" s="8" t="n">
        <v>130.04983</v>
      </c>
      <c r="E60" s="9" t="n">
        <v>8.854</v>
      </c>
      <c r="F60" s="10" t="n">
        <v>4484073.00565533</v>
      </c>
      <c r="G60" s="10" t="n">
        <v>1691023.33099571</v>
      </c>
      <c r="H60" s="10" t="n">
        <v>11010437.5480775</v>
      </c>
      <c r="I60" s="10" t="n">
        <v>3246579.42770254</v>
      </c>
      <c r="J60" s="10" t="n">
        <v>7450602.34311993</v>
      </c>
      <c r="K60" s="11" t="n">
        <v>2.45545456869035</v>
      </c>
      <c r="L60" s="11" t="n">
        <v>1.29599012974907</v>
      </c>
      <c r="M60" s="11" t="n">
        <v>0.820326056027947</v>
      </c>
      <c r="N60" s="11" t="n">
        <v>0.753459718758208</v>
      </c>
      <c r="O60" s="12" t="n">
        <v>0.00720451018673654</v>
      </c>
      <c r="P60" s="12" t="n">
        <v>0.195736467877902</v>
      </c>
      <c r="Q60" s="4" t="n">
        <f aca="false">RANK(N60,$N$7:$N$307,0)</f>
        <v>54</v>
      </c>
      <c r="R60" s="4" t="n">
        <f aca="false">RANK(O60,$O$7:$O$307,1)</f>
        <v>11</v>
      </c>
      <c r="S60" s="4" t="n">
        <f aca="false">RANK(J60,$J$7:$J$307,0)</f>
        <v>113</v>
      </c>
      <c r="T60" s="4" t="str">
        <f aca="false">IF(O60&lt;0.05,"YES","no")</f>
        <v>YES</v>
      </c>
      <c r="U60" s="4" t="str">
        <f aca="false">IF(P60&lt;0.05,"YES","no")</f>
        <v>no</v>
      </c>
      <c r="V60" s="4" t="str">
        <f aca="false">IF(N60&gt;1,"YES","no")</f>
        <v>no</v>
      </c>
    </row>
    <row r="61" customFormat="false" ht="15" hidden="false" customHeight="false" outlineLevel="0" collapsed="false">
      <c r="A61" s="4" t="s">
        <v>190</v>
      </c>
      <c r="B61" s="4" t="s">
        <v>191</v>
      </c>
      <c r="C61" s="4" t="s">
        <v>61</v>
      </c>
      <c r="D61" s="8" t="n">
        <v>244.09276</v>
      </c>
      <c r="E61" s="9" t="n">
        <v>9.689</v>
      </c>
      <c r="F61" s="10" t="n">
        <v>5696458.82279352</v>
      </c>
      <c r="G61" s="10" t="n">
        <v>1472804.95022022</v>
      </c>
      <c r="H61" s="10" t="n">
        <v>12312503.6063506</v>
      </c>
      <c r="I61" s="10" t="n">
        <v>4790045.27226093</v>
      </c>
      <c r="J61" s="10" t="n">
        <v>8703751.90622854</v>
      </c>
      <c r="K61" s="11" t="n">
        <v>2.16143116089665</v>
      </c>
      <c r="L61" s="11" t="n">
        <v>1.11198688878319</v>
      </c>
      <c r="M61" s="11" t="n">
        <v>0.733304012085768</v>
      </c>
      <c r="N61" s="11" t="n">
        <v>0.727006653430481</v>
      </c>
      <c r="O61" s="12" t="n">
        <v>0.0341162822213146</v>
      </c>
      <c r="P61" s="12" t="n">
        <v>0.389147141008843</v>
      </c>
      <c r="Q61" s="4" t="n">
        <f aca="false">RANK(N61,$N$7:$N$307,0)</f>
        <v>55</v>
      </c>
      <c r="R61" s="4" t="n">
        <f aca="false">RANK(O61,$O$7:$O$307,1)</f>
        <v>25</v>
      </c>
      <c r="S61" s="4" t="n">
        <f aca="false">RANK(J61,$J$7:$J$307,0)</f>
        <v>103</v>
      </c>
      <c r="T61" s="4" t="str">
        <f aca="false">IF(O61&lt;0.05,"YES","no")</f>
        <v>YES</v>
      </c>
      <c r="U61" s="4" t="str">
        <f aca="false">IF(P61&lt;0.05,"YES","no")</f>
        <v>no</v>
      </c>
      <c r="V61" s="4" t="str">
        <f aca="false">IF(N61&gt;1,"YES","no")</f>
        <v>no</v>
      </c>
    </row>
    <row r="62" customFormat="false" ht="15" hidden="false" customHeight="false" outlineLevel="0" collapsed="false">
      <c r="A62" s="4" t="s">
        <v>147</v>
      </c>
      <c r="B62" s="4" t="s">
        <v>148</v>
      </c>
      <c r="C62" s="4" t="s">
        <v>61</v>
      </c>
      <c r="D62" s="8" t="n">
        <v>110.02696</v>
      </c>
      <c r="E62" s="9" t="n">
        <v>11.333</v>
      </c>
      <c r="F62" s="10" t="n">
        <v>19966073.2267876</v>
      </c>
      <c r="G62" s="10" t="n">
        <v>11244335.1736657</v>
      </c>
      <c r="H62" s="10" t="n">
        <v>10452924.5256522</v>
      </c>
      <c r="I62" s="10" t="n">
        <v>7312849.3299117</v>
      </c>
      <c r="J62" s="10" t="n">
        <v>15641914.7262715</v>
      </c>
      <c r="K62" s="11" t="n">
        <v>0.523534317786034</v>
      </c>
      <c r="L62" s="11" t="n">
        <v>-0.933643985664438</v>
      </c>
      <c r="M62" s="11" t="n">
        <v>0.475222989489654</v>
      </c>
      <c r="N62" s="11" t="n">
        <v>0.715514688283173</v>
      </c>
      <c r="O62" s="12" t="n">
        <v>0.12730061702665</v>
      </c>
      <c r="P62" s="12" t="n">
        <v>0.513878605264234</v>
      </c>
      <c r="Q62" s="4" t="n">
        <f aca="false">RANK(N62,$N$7:$N$307,0)</f>
        <v>56</v>
      </c>
      <c r="R62" s="4" t="n">
        <f aca="false">RANK(O62,$O$7:$O$307,1)</f>
        <v>70</v>
      </c>
      <c r="S62" s="4" t="n">
        <f aca="false">RANK(J62,$J$7:$J$307,0)</f>
        <v>87</v>
      </c>
      <c r="T62" s="4" t="str">
        <f aca="false">IF(O62&lt;0.05,"YES","no")</f>
        <v>no</v>
      </c>
      <c r="U62" s="4" t="str">
        <f aca="false">IF(P62&lt;0.05,"YES","no")</f>
        <v>no</v>
      </c>
      <c r="V62" s="4" t="str">
        <f aca="false">IF(N62&gt;1,"YES","no")</f>
        <v>no</v>
      </c>
    </row>
    <row r="63" customFormat="false" ht="15" hidden="false" customHeight="false" outlineLevel="0" collapsed="false">
      <c r="A63" s="4" t="s">
        <v>93</v>
      </c>
      <c r="B63" s="4"/>
      <c r="C63" s="4" t="s">
        <v>72</v>
      </c>
      <c r="D63" s="8" t="n">
        <v>112.08688</v>
      </c>
      <c r="E63" s="9" t="n">
        <v>11.095</v>
      </c>
      <c r="F63" s="10" t="n">
        <v>25384037.2416454</v>
      </c>
      <c r="G63" s="10" t="n">
        <v>12626016.2957534</v>
      </c>
      <c r="H63" s="10" t="n">
        <v>15415421.0988442</v>
      </c>
      <c r="I63" s="10" t="n">
        <v>6560603.30684536</v>
      </c>
      <c r="J63" s="10" t="n">
        <v>20852848.0858267</v>
      </c>
      <c r="K63" s="11" t="n">
        <v>0.607287995683895</v>
      </c>
      <c r="L63" s="11" t="n">
        <v>-0.719547243299379</v>
      </c>
      <c r="M63" s="11" t="n">
        <v>0.467457149594162</v>
      </c>
      <c r="N63" s="11" t="n">
        <v>0.714721029541878</v>
      </c>
      <c r="O63" s="12" t="n">
        <v>0.132548415171542</v>
      </c>
      <c r="P63" s="12" t="n">
        <v>0.513878605264234</v>
      </c>
      <c r="Q63" s="4" t="n">
        <f aca="false">RANK(N63,$N$7:$N$307,0)</f>
        <v>57</v>
      </c>
      <c r="R63" s="4" t="n">
        <f aca="false">RANK(O63,$O$7:$O$307,1)</f>
        <v>72</v>
      </c>
      <c r="S63" s="4" t="n">
        <f aca="false">RANK(J63,$J$7:$J$307,0)</f>
        <v>73</v>
      </c>
      <c r="T63" s="4" t="str">
        <f aca="false">IF(O63&lt;0.05,"YES","no")</f>
        <v>no</v>
      </c>
      <c r="U63" s="4" t="str">
        <f aca="false">IF(P63&lt;0.05,"YES","no")</f>
        <v>no</v>
      </c>
      <c r="V63" s="4" t="str">
        <f aca="false">IF(N63&gt;1,"YES","no")</f>
        <v>no</v>
      </c>
    </row>
    <row r="64" customFormat="false" ht="15" hidden="false" customHeight="false" outlineLevel="0" collapsed="false">
      <c r="A64" s="4" t="s">
        <v>134</v>
      </c>
      <c r="B64" s="4"/>
      <c r="C64" s="4" t="s">
        <v>72</v>
      </c>
      <c r="D64" s="8" t="n">
        <v>426.02204</v>
      </c>
      <c r="E64" s="9" t="n">
        <v>9.694</v>
      </c>
      <c r="F64" s="10" t="n">
        <v>34399678.6083903</v>
      </c>
      <c r="G64" s="10" t="n">
        <v>12506312.5218725</v>
      </c>
      <c r="H64" s="10" t="n">
        <v>24914960.7723026</v>
      </c>
      <c r="I64" s="10" t="n">
        <v>5001825.00470018</v>
      </c>
      <c r="J64" s="10" t="n">
        <v>30088443.2283504</v>
      </c>
      <c r="K64" s="11" t="n">
        <v>0.724278882251698</v>
      </c>
      <c r="L64" s="11" t="n">
        <v>-0.465382783530483</v>
      </c>
      <c r="M64" s="11" t="n">
        <v>0.466486019428709</v>
      </c>
      <c r="N64" s="11" t="n">
        <v>0.692253332312214</v>
      </c>
      <c r="O64" s="12" t="n">
        <v>0.133949936854297</v>
      </c>
      <c r="P64" s="12" t="n">
        <v>0.513878605264234</v>
      </c>
      <c r="Q64" s="4" t="n">
        <f aca="false">RANK(N64,$N$7:$N$307,0)</f>
        <v>58</v>
      </c>
      <c r="R64" s="4" t="n">
        <f aca="false">RANK(O64,$O$7:$O$307,1)</f>
        <v>74</v>
      </c>
      <c r="S64" s="4" t="n">
        <f aca="false">RANK(J64,$J$7:$J$307,0)</f>
        <v>63</v>
      </c>
      <c r="T64" s="4" t="str">
        <f aca="false">IF(O64&lt;0.05,"YES","no")</f>
        <v>no</v>
      </c>
      <c r="U64" s="4" t="str">
        <f aca="false">IF(P64&lt;0.05,"YES","no")</f>
        <v>no</v>
      </c>
      <c r="V64" s="4" t="str">
        <f aca="false">IF(N64&gt;1,"YES","no")</f>
        <v>no</v>
      </c>
    </row>
    <row r="65" customFormat="false" ht="15" hidden="false" customHeight="false" outlineLevel="0" collapsed="false">
      <c r="A65" s="4" t="s">
        <v>102</v>
      </c>
      <c r="B65" s="4"/>
      <c r="C65" s="4" t="s">
        <v>61</v>
      </c>
      <c r="D65" s="8" t="n">
        <v>114.06614</v>
      </c>
      <c r="E65" s="9" t="n">
        <v>8.762</v>
      </c>
      <c r="F65" s="10" t="n">
        <v>152517361.728702</v>
      </c>
      <c r="G65" s="10" t="n">
        <v>65663627.694313</v>
      </c>
      <c r="H65" s="10" t="n">
        <v>132589770.531478</v>
      </c>
      <c r="I65" s="10" t="n">
        <v>18731173.6695731</v>
      </c>
      <c r="J65" s="10" t="n">
        <v>143459365.729964</v>
      </c>
      <c r="K65" s="11" t="n">
        <v>0.869342145895029</v>
      </c>
      <c r="L65" s="11" t="n">
        <v>-0.202004006411427</v>
      </c>
      <c r="M65" s="11" t="n">
        <v>0.21222991176244</v>
      </c>
      <c r="N65" s="11" t="n">
        <v>0.669841367746767</v>
      </c>
      <c r="O65" s="12" t="n">
        <v>0.504819261214346</v>
      </c>
      <c r="P65" s="12" t="n">
        <v>0.712160798284355</v>
      </c>
      <c r="Q65" s="4" t="n">
        <f aca="false">RANK(N65,$N$7:$N$307,0)</f>
        <v>59</v>
      </c>
      <c r="R65" s="4" t="n">
        <f aca="false">RANK(O65,$O$7:$O$307,1)</f>
        <v>212</v>
      </c>
      <c r="S65" s="4" t="n">
        <f aca="false">RANK(J65,$J$7:$J$307,0)</f>
        <v>22</v>
      </c>
      <c r="T65" s="4" t="str">
        <f aca="false">IF(O65&lt;0.05,"YES","no")</f>
        <v>no</v>
      </c>
      <c r="U65" s="4" t="str">
        <f aca="false">IF(P65&lt;0.05,"YES","no")</f>
        <v>no</v>
      </c>
      <c r="V65" s="4" t="str">
        <f aca="false">IF(N65&gt;1,"YES","no")</f>
        <v>no</v>
      </c>
    </row>
    <row r="66" customFormat="false" ht="15" hidden="false" customHeight="false" outlineLevel="0" collapsed="false">
      <c r="A66" s="4" t="s">
        <v>151</v>
      </c>
      <c r="B66" s="4"/>
      <c r="C66" s="4" t="s">
        <v>61</v>
      </c>
      <c r="D66" s="8" t="n">
        <v>229.01174</v>
      </c>
      <c r="E66" s="9" t="n">
        <v>9.596</v>
      </c>
      <c r="F66" s="10" t="n">
        <v>9174611.02050039</v>
      </c>
      <c r="G66" s="10" t="n">
        <v>2222010.80515366</v>
      </c>
      <c r="H66" s="10" t="n">
        <v>15276254.9719708</v>
      </c>
      <c r="I66" s="10" t="n">
        <v>4996693.30294525</v>
      </c>
      <c r="J66" s="10" t="n">
        <v>11948085.5438961</v>
      </c>
      <c r="K66" s="11" t="n">
        <v>1.66505750901444</v>
      </c>
      <c r="L66" s="11" t="n">
        <v>0.735572007048563</v>
      </c>
      <c r="M66" s="11" t="n">
        <v>0.670146181473618</v>
      </c>
      <c r="N66" s="11" t="n">
        <v>0.666747109419783</v>
      </c>
      <c r="O66" s="12" t="n">
        <v>0.0497392552177225</v>
      </c>
      <c r="P66" s="12" t="n">
        <v>0.462020485788316</v>
      </c>
      <c r="Q66" s="4" t="n">
        <f aca="false">RANK(N66,$N$7:$N$307,0)</f>
        <v>60</v>
      </c>
      <c r="R66" s="4" t="n">
        <f aca="false">RANK(O66,$O$7:$O$307,1)</f>
        <v>32</v>
      </c>
      <c r="S66" s="4" t="n">
        <f aca="false">RANK(J66,$J$7:$J$307,0)</f>
        <v>96</v>
      </c>
      <c r="T66" s="4" t="str">
        <f aca="false">IF(O66&lt;0.05,"YES","no")</f>
        <v>YES</v>
      </c>
      <c r="U66" s="4" t="str">
        <f aca="false">IF(P66&lt;0.05,"YES","no")</f>
        <v>no</v>
      </c>
      <c r="V66" s="4" t="str">
        <f aca="false">IF(N66&gt;1,"YES","no")</f>
        <v>no</v>
      </c>
    </row>
    <row r="67" customFormat="false" ht="15" hidden="false" customHeight="false" outlineLevel="0" collapsed="false">
      <c r="A67" s="4" t="s">
        <v>131</v>
      </c>
      <c r="B67" s="4"/>
      <c r="C67" s="4" t="s">
        <v>61</v>
      </c>
      <c r="D67" s="8" t="n">
        <v>323.02841</v>
      </c>
      <c r="E67" s="9" t="n">
        <v>9.303</v>
      </c>
      <c r="F67" s="10" t="n">
        <v>22827509.653542</v>
      </c>
      <c r="G67" s="10" t="n">
        <v>5702546.13246823</v>
      </c>
      <c r="H67" s="10" t="n">
        <v>30787897.9165062</v>
      </c>
      <c r="I67" s="10" t="n">
        <v>10263381.2582416</v>
      </c>
      <c r="J67" s="10" t="n">
        <v>26445867.9548894</v>
      </c>
      <c r="K67" s="11" t="n">
        <v>1.34871908428824</v>
      </c>
      <c r="L67" s="11" t="n">
        <v>0.431589890237689</v>
      </c>
      <c r="M67" s="11" t="n">
        <v>0.47787927842098</v>
      </c>
      <c r="N67" s="11" t="n">
        <v>0.656916861686506</v>
      </c>
      <c r="O67" s="12" t="n">
        <v>0.172848925148268</v>
      </c>
      <c r="P67" s="12" t="n">
        <v>0.545793274011047</v>
      </c>
      <c r="Q67" s="4" t="n">
        <f aca="false">RANK(N67,$N$7:$N$307,0)</f>
        <v>61</v>
      </c>
      <c r="R67" s="4" t="n">
        <f aca="false">RANK(O67,$O$7:$O$307,1)</f>
        <v>91</v>
      </c>
      <c r="S67" s="4" t="n">
        <f aca="false">RANK(J67,$J$7:$J$307,0)</f>
        <v>68</v>
      </c>
      <c r="T67" s="4" t="str">
        <f aca="false">IF(O67&lt;0.05,"YES","no")</f>
        <v>no</v>
      </c>
      <c r="U67" s="4" t="str">
        <f aca="false">IF(P67&lt;0.05,"YES","no")</f>
        <v>no</v>
      </c>
      <c r="V67" s="4" t="str">
        <f aca="false">IF(N67&gt;1,"YES","no")</f>
        <v>no</v>
      </c>
    </row>
    <row r="68" customFormat="false" ht="15" hidden="false" customHeight="false" outlineLevel="0" collapsed="false">
      <c r="A68" s="4" t="s">
        <v>109</v>
      </c>
      <c r="B68" s="4"/>
      <c r="C68" s="4" t="s">
        <v>61</v>
      </c>
      <c r="D68" s="8" t="n">
        <v>151.02624</v>
      </c>
      <c r="E68" s="9" t="n">
        <v>8.62</v>
      </c>
      <c r="F68" s="10" t="n">
        <v>17482324.4933066</v>
      </c>
      <c r="G68" s="10" t="n">
        <v>7310094.77372231</v>
      </c>
      <c r="H68" s="10" t="n">
        <v>24855582.3602086</v>
      </c>
      <c r="I68" s="10" t="n">
        <v>8498139.31718664</v>
      </c>
      <c r="J68" s="10" t="n">
        <v>20833805.3418984</v>
      </c>
      <c r="K68" s="11" t="n">
        <v>1.42175500573307</v>
      </c>
      <c r="L68" s="11" t="n">
        <v>0.507672883758102</v>
      </c>
      <c r="M68" s="11" t="n">
        <v>0.458813248603748</v>
      </c>
      <c r="N68" s="11" t="n">
        <v>0.648956809742815</v>
      </c>
      <c r="O68" s="12" t="n">
        <v>0.165482600015185</v>
      </c>
      <c r="P68" s="12" t="n">
        <v>0.545793274011047</v>
      </c>
      <c r="Q68" s="4" t="n">
        <f aca="false">RANK(N68,$N$7:$N$307,0)</f>
        <v>62</v>
      </c>
      <c r="R68" s="4" t="n">
        <f aca="false">RANK(O68,$O$7:$O$307,1)</f>
        <v>88</v>
      </c>
      <c r="S68" s="4" t="n">
        <f aca="false">RANK(J68,$J$7:$J$307,0)</f>
        <v>74</v>
      </c>
      <c r="T68" s="4" t="str">
        <f aca="false">IF(O68&lt;0.05,"YES","no")</f>
        <v>no</v>
      </c>
      <c r="U68" s="4" t="str">
        <f aca="false">IF(P68&lt;0.05,"YES","no")</f>
        <v>no</v>
      </c>
      <c r="V68" s="4" t="str">
        <f aca="false">IF(N68&gt;1,"YES","no")</f>
        <v>no</v>
      </c>
    </row>
    <row r="69" customFormat="false" ht="15" hidden="false" customHeight="false" outlineLevel="0" collapsed="false">
      <c r="A69" s="4" t="s">
        <v>215</v>
      </c>
      <c r="B69" s="4"/>
      <c r="C69" s="4" t="s">
        <v>72</v>
      </c>
      <c r="D69" s="8" t="n">
        <v>229.15467</v>
      </c>
      <c r="E69" s="9" t="n">
        <v>6.868</v>
      </c>
      <c r="F69" s="10" t="n">
        <v>3978474.23474212</v>
      </c>
      <c r="G69" s="10" t="n">
        <v>1363698.35594743</v>
      </c>
      <c r="H69" s="10" t="n">
        <v>8714422.88897392</v>
      </c>
      <c r="I69" s="10" t="n">
        <v>2321627.18947493</v>
      </c>
      <c r="J69" s="10" t="n">
        <v>6131178.16848384</v>
      </c>
      <c r="K69" s="11" t="n">
        <v>2.19039319467625</v>
      </c>
      <c r="L69" s="11" t="n">
        <v>1.13118986941203</v>
      </c>
      <c r="M69" s="11" t="n">
        <v>0.815285110107375</v>
      </c>
      <c r="N69" s="11" t="n">
        <v>0.640328092313402</v>
      </c>
      <c r="O69" s="12" t="n">
        <v>0.00646122480973592</v>
      </c>
      <c r="P69" s="12" t="n">
        <v>0.195736467877902</v>
      </c>
      <c r="Q69" s="4" t="n">
        <f aca="false">RANK(N69,$N$7:$N$307,0)</f>
        <v>63</v>
      </c>
      <c r="R69" s="4" t="n">
        <f aca="false">RANK(O69,$O$7:$O$307,1)</f>
        <v>9</v>
      </c>
      <c r="S69" s="4" t="n">
        <f aca="false">RANK(J69,$J$7:$J$307,0)</f>
        <v>122</v>
      </c>
      <c r="T69" s="4" t="str">
        <f aca="false">IF(O69&lt;0.05,"YES","no")</f>
        <v>YES</v>
      </c>
      <c r="U69" s="4" t="str">
        <f aca="false">IF(P69&lt;0.05,"YES","no")</f>
        <v>no</v>
      </c>
      <c r="V69" s="4" t="str">
        <f aca="false">IF(N69&gt;1,"YES","no")</f>
        <v>no</v>
      </c>
    </row>
    <row r="70" customFormat="false" ht="15" hidden="false" customHeight="false" outlineLevel="0" collapsed="false">
      <c r="A70" s="4" t="s">
        <v>257</v>
      </c>
      <c r="B70" s="4"/>
      <c r="C70" s="4" t="s">
        <v>72</v>
      </c>
      <c r="D70" s="8" t="n">
        <v>109.02835</v>
      </c>
      <c r="E70" s="9" t="n">
        <v>9.916</v>
      </c>
      <c r="F70" s="10" t="n">
        <v>3827097.00344878</v>
      </c>
      <c r="G70" s="10" t="n">
        <v>3444139.36249943</v>
      </c>
      <c r="H70" s="10" t="n">
        <v>10486665.0731785</v>
      </c>
      <c r="I70" s="10" t="n">
        <v>10380567.8775431</v>
      </c>
      <c r="J70" s="10" t="n">
        <v>6854173.39878047</v>
      </c>
      <c r="K70" s="11" t="n">
        <v>2.74010955659824</v>
      </c>
      <c r="L70" s="11" t="n">
        <v>1.45423357698185</v>
      </c>
      <c r="M70" s="11" t="n">
        <v>0.4448226846747</v>
      </c>
      <c r="N70" s="11" t="n">
        <v>0.636351944906688</v>
      </c>
      <c r="O70" s="12" t="n">
        <v>0.231210851979148</v>
      </c>
      <c r="P70" s="12" t="n">
        <v>0.552337035283521</v>
      </c>
      <c r="Q70" s="4" t="n">
        <f aca="false">RANK(N70,$N$7:$N$307,0)</f>
        <v>64</v>
      </c>
      <c r="R70" s="4" t="n">
        <f aca="false">RANK(O70,$O$7:$O$307,1)</f>
        <v>126</v>
      </c>
      <c r="S70" s="4" t="n">
        <f aca="false">RANK(J70,$J$7:$J$307,0)</f>
        <v>118</v>
      </c>
      <c r="T70" s="4" t="str">
        <f aca="false">IF(O70&lt;0.05,"YES","no")</f>
        <v>no</v>
      </c>
      <c r="U70" s="4" t="str">
        <f aca="false">IF(P70&lt;0.05,"YES","no")</f>
        <v>no</v>
      </c>
      <c r="V70" s="4" t="str">
        <f aca="false">IF(N70&gt;1,"YES","no")</f>
        <v>no</v>
      </c>
    </row>
    <row r="71" customFormat="false" ht="15" hidden="false" customHeight="false" outlineLevel="0" collapsed="false">
      <c r="A71" s="4" t="s">
        <v>78</v>
      </c>
      <c r="B71" s="4"/>
      <c r="C71" s="4" t="s">
        <v>61</v>
      </c>
      <c r="D71" s="8" t="n">
        <v>156.0766</v>
      </c>
      <c r="E71" s="9" t="n">
        <v>13.639</v>
      </c>
      <c r="F71" s="10" t="n">
        <v>129517199.999938</v>
      </c>
      <c r="G71" s="10" t="n">
        <v>37820940.9903147</v>
      </c>
      <c r="H71" s="10" t="n">
        <v>144888142.561857</v>
      </c>
      <c r="I71" s="10" t="n">
        <v>36645712.249231</v>
      </c>
      <c r="J71" s="10" t="n">
        <v>136503992.073537</v>
      </c>
      <c r="K71" s="11" t="n">
        <v>1.11867877441704</v>
      </c>
      <c r="L71" s="11" t="n">
        <v>0.161795829803496</v>
      </c>
      <c r="M71" s="11" t="n">
        <v>0.221209118006895</v>
      </c>
      <c r="N71" s="11" t="n">
        <v>0.631877185599137</v>
      </c>
      <c r="O71" s="12" t="n">
        <v>0.512504541193377</v>
      </c>
      <c r="P71" s="12" t="n">
        <v>0.714184568977808</v>
      </c>
      <c r="Q71" s="4" t="n">
        <f aca="false">RANK(N71,$N$7:$N$307,0)</f>
        <v>65</v>
      </c>
      <c r="R71" s="4" t="n">
        <f aca="false">RANK(O71,$O$7:$O$307,1)</f>
        <v>216</v>
      </c>
      <c r="S71" s="4" t="n">
        <f aca="false">RANK(J71,$J$7:$J$307,0)</f>
        <v>23</v>
      </c>
      <c r="T71" s="4" t="str">
        <f aca="false">IF(O71&lt;0.05,"YES","no")</f>
        <v>no</v>
      </c>
      <c r="U71" s="4" t="str">
        <f aca="false">IF(P71&lt;0.05,"YES","no")</f>
        <v>no</v>
      </c>
      <c r="V71" s="4" t="str">
        <f aca="false">IF(N71&gt;1,"YES","no")</f>
        <v>no</v>
      </c>
    </row>
    <row r="72" customFormat="false" ht="15" hidden="false" customHeight="false" outlineLevel="0" collapsed="false">
      <c r="A72" s="4" t="s">
        <v>96</v>
      </c>
      <c r="B72" s="4"/>
      <c r="C72" s="4" t="s">
        <v>61</v>
      </c>
      <c r="D72" s="8" t="n">
        <v>175.00169</v>
      </c>
      <c r="E72" s="9" t="n">
        <v>8.607</v>
      </c>
      <c r="F72" s="10" t="n">
        <v>25794375.5826599</v>
      </c>
      <c r="G72" s="10" t="n">
        <v>8786052.25838205</v>
      </c>
      <c r="H72" s="10" t="n">
        <v>33483085.5032347</v>
      </c>
      <c r="I72" s="10" t="n">
        <v>7371861.55637341</v>
      </c>
      <c r="J72" s="10" t="n">
        <v>29289243.7283757</v>
      </c>
      <c r="K72" s="11" t="n">
        <v>1.29807699341028</v>
      </c>
      <c r="L72" s="11" t="n">
        <v>0.3763759570789</v>
      </c>
      <c r="M72" s="11" t="n">
        <v>0.459205536787829</v>
      </c>
      <c r="N72" s="11" t="n">
        <v>0.612565199202288</v>
      </c>
      <c r="O72" s="12" t="n">
        <v>0.149000464899314</v>
      </c>
      <c r="P72" s="12" t="n">
        <v>0.527636940408157</v>
      </c>
      <c r="Q72" s="4" t="n">
        <f aca="false">RANK(N72,$N$7:$N$307,0)</f>
        <v>66</v>
      </c>
      <c r="R72" s="4" t="n">
        <f aca="false">RANK(O72,$O$7:$O$307,1)</f>
        <v>85</v>
      </c>
      <c r="S72" s="4" t="n">
        <f aca="false">RANK(J72,$J$7:$J$307,0)</f>
        <v>65</v>
      </c>
      <c r="T72" s="4" t="str">
        <f aca="false">IF(O72&lt;0.05,"YES","no")</f>
        <v>no</v>
      </c>
      <c r="U72" s="4" t="str">
        <f aca="false">IF(P72&lt;0.05,"YES","no")</f>
        <v>no</v>
      </c>
      <c r="V72" s="4" t="str">
        <f aca="false">IF(N72&gt;1,"YES","no")</f>
        <v>no</v>
      </c>
    </row>
    <row r="73" customFormat="false" ht="15" hidden="false" customHeight="false" outlineLevel="0" collapsed="false">
      <c r="A73" s="4" t="s">
        <v>168</v>
      </c>
      <c r="B73" s="4"/>
      <c r="C73" s="4" t="s">
        <v>61</v>
      </c>
      <c r="D73" s="8" t="n">
        <v>184.9856</v>
      </c>
      <c r="E73" s="9" t="n">
        <v>10.471</v>
      </c>
      <c r="F73" s="10" t="n">
        <v>7414247.6490903</v>
      </c>
      <c r="G73" s="10" t="n">
        <v>3669697.40321575</v>
      </c>
      <c r="H73" s="10" t="n">
        <v>2632986.76439832</v>
      </c>
      <c r="I73" s="10" t="n">
        <v>1618637.30173904</v>
      </c>
      <c r="J73" s="10" t="n">
        <v>5240947.24695758</v>
      </c>
      <c r="K73" s="11" t="n">
        <v>0.355125278924475</v>
      </c>
      <c r="L73" s="11" t="n">
        <v>-1.49360003534253</v>
      </c>
      <c r="M73" s="11" t="n">
        <v>0.666952063810879</v>
      </c>
      <c r="N73" s="11" t="n">
        <v>0.596760613849427</v>
      </c>
      <c r="O73" s="12" t="n">
        <v>0.0234284085200064</v>
      </c>
      <c r="P73" s="12" t="n">
        <v>0.35409133832332</v>
      </c>
      <c r="Q73" s="4" t="n">
        <f aca="false">RANK(N73,$N$7:$N$307,0)</f>
        <v>67</v>
      </c>
      <c r="R73" s="4" t="n">
        <f aca="false">RANK(O73,$O$7:$O$307,1)</f>
        <v>19</v>
      </c>
      <c r="S73" s="4" t="n">
        <f aca="false">RANK(J73,$J$7:$J$307,0)</f>
        <v>128</v>
      </c>
      <c r="T73" s="4" t="str">
        <f aca="false">IF(O73&lt;0.05,"YES","no")</f>
        <v>YES</v>
      </c>
      <c r="U73" s="4" t="str">
        <f aca="false">IF(P73&lt;0.05,"YES","no")</f>
        <v>no</v>
      </c>
      <c r="V73" s="4" t="str">
        <f aca="false">IF(N73&gt;1,"YES","no")</f>
        <v>no</v>
      </c>
    </row>
    <row r="74" customFormat="false" ht="15" hidden="false" customHeight="false" outlineLevel="0" collapsed="false">
      <c r="A74" s="4" t="s">
        <v>104</v>
      </c>
      <c r="B74" s="4" t="s">
        <v>105</v>
      </c>
      <c r="C74" s="4" t="s">
        <v>72</v>
      </c>
      <c r="D74" s="8" t="n">
        <v>138.0549</v>
      </c>
      <c r="E74" s="9" t="n">
        <v>10.341</v>
      </c>
      <c r="F74" s="10" t="n">
        <v>66480442.3417375</v>
      </c>
      <c r="G74" s="10" t="n">
        <v>15141138.5106207</v>
      </c>
      <c r="H74" s="10" t="n">
        <v>76050037.0889852</v>
      </c>
      <c r="I74" s="10" t="n">
        <v>14826967.328822</v>
      </c>
      <c r="J74" s="10" t="n">
        <v>70830258.135941</v>
      </c>
      <c r="K74" s="11" t="n">
        <v>1.14394601495062</v>
      </c>
      <c r="L74" s="11" t="n">
        <v>0.194018970122648</v>
      </c>
      <c r="M74" s="11" t="n">
        <v>0.331307041452467</v>
      </c>
      <c r="N74" s="11" t="n">
        <v>0.592246452405849</v>
      </c>
      <c r="O74" s="12" t="n">
        <v>0.319527711656728</v>
      </c>
      <c r="P74" s="12" t="n">
        <v>0.617704034920547</v>
      </c>
      <c r="Q74" s="4" t="n">
        <f aca="false">RANK(N74,$N$7:$N$307,0)</f>
        <v>68</v>
      </c>
      <c r="R74" s="4" t="n">
        <f aca="false">RANK(O74,$O$7:$O$307,1)</f>
        <v>151</v>
      </c>
      <c r="S74" s="4" t="n">
        <f aca="false">RANK(J74,$J$7:$J$307,0)</f>
        <v>33</v>
      </c>
      <c r="T74" s="4" t="str">
        <f aca="false">IF(O74&lt;0.05,"YES","no")</f>
        <v>no</v>
      </c>
      <c r="U74" s="4" t="str">
        <f aca="false">IF(P74&lt;0.05,"YES","no")</f>
        <v>no</v>
      </c>
      <c r="V74" s="4" t="str">
        <f aca="false">IF(N74&gt;1,"YES","no")</f>
        <v>no</v>
      </c>
    </row>
    <row r="75" customFormat="false" ht="15" hidden="false" customHeight="false" outlineLevel="0" collapsed="false">
      <c r="A75" s="4" t="s">
        <v>85</v>
      </c>
      <c r="B75" s="4"/>
      <c r="C75" s="4" t="s">
        <v>61</v>
      </c>
      <c r="D75" s="8" t="n">
        <v>90.05487</v>
      </c>
      <c r="E75" s="9" t="n">
        <v>11.327</v>
      </c>
      <c r="F75" s="10" t="n">
        <v>134514552.532866</v>
      </c>
      <c r="G75" s="10" t="n">
        <v>32033880.0473559</v>
      </c>
      <c r="H75" s="10" t="n">
        <v>121710044.101549</v>
      </c>
      <c r="I75" s="10" t="n">
        <v>18619716.4549826</v>
      </c>
      <c r="J75" s="10" t="n">
        <v>128694321.427722</v>
      </c>
      <c r="K75" s="11" t="n">
        <v>0.904809493172206</v>
      </c>
      <c r="L75" s="11" t="n">
        <v>-0.144314028865757</v>
      </c>
      <c r="M75" s="11" t="n">
        <v>0.253380788804786</v>
      </c>
      <c r="N75" s="11" t="n">
        <v>0.591167889854789</v>
      </c>
      <c r="O75" s="12" t="n">
        <v>0.432254090792932</v>
      </c>
      <c r="P75" s="12" t="n">
        <v>0.665820888057596</v>
      </c>
      <c r="Q75" s="4" t="n">
        <f aca="false">RANK(N75,$N$7:$N$307,0)</f>
        <v>69</v>
      </c>
      <c r="R75" s="4" t="n">
        <f aca="false">RANK(O75,$O$7:$O$307,1)</f>
        <v>194</v>
      </c>
      <c r="S75" s="4" t="n">
        <f aca="false">RANK(J75,$J$7:$J$307,0)</f>
        <v>25</v>
      </c>
      <c r="T75" s="4" t="str">
        <f aca="false">IF(O75&lt;0.05,"YES","no")</f>
        <v>no</v>
      </c>
      <c r="U75" s="4" t="str">
        <f aca="false">IF(P75&lt;0.05,"YES","no")</f>
        <v>no</v>
      </c>
      <c r="V75" s="4" t="str">
        <f aca="false">IF(N75&gt;1,"YES","no")</f>
        <v>no</v>
      </c>
    </row>
    <row r="76" customFormat="false" ht="15" hidden="false" customHeight="false" outlineLevel="0" collapsed="false">
      <c r="A76" s="4" t="s">
        <v>202</v>
      </c>
      <c r="B76" s="4"/>
      <c r="C76" s="4" t="s">
        <v>72</v>
      </c>
      <c r="D76" s="8" t="n">
        <v>204.12295</v>
      </c>
      <c r="E76" s="9" t="n">
        <v>10.705</v>
      </c>
      <c r="F76" s="10" t="n">
        <v>17786307.0297526</v>
      </c>
      <c r="G76" s="10" t="n">
        <v>6643930.45181839</v>
      </c>
      <c r="H76" s="10" t="n">
        <v>23905586.9444303</v>
      </c>
      <c r="I76" s="10" t="n">
        <v>11257361.8701073</v>
      </c>
      <c r="J76" s="10" t="n">
        <v>20567797.9000606</v>
      </c>
      <c r="K76" s="11" t="n">
        <v>1.34404443285733</v>
      </c>
      <c r="L76" s="11" t="n">
        <v>0.426580833059621</v>
      </c>
      <c r="M76" s="11" t="n">
        <v>0.350826164748851</v>
      </c>
      <c r="N76" s="11" t="n">
        <v>0.588385184029617</v>
      </c>
      <c r="O76" s="12" t="n">
        <v>0.324234005157835</v>
      </c>
      <c r="P76" s="12" t="n">
        <v>0.617704034920547</v>
      </c>
      <c r="Q76" s="4" t="n">
        <f aca="false">RANK(N76,$N$7:$N$307,0)</f>
        <v>70</v>
      </c>
      <c r="R76" s="4" t="n">
        <f aca="false">RANK(O76,$O$7:$O$307,1)</f>
        <v>152</v>
      </c>
      <c r="S76" s="4" t="n">
        <f aca="false">RANK(J76,$J$7:$J$307,0)</f>
        <v>75</v>
      </c>
      <c r="T76" s="4" t="str">
        <f aca="false">IF(O76&lt;0.05,"YES","no")</f>
        <v>no</v>
      </c>
      <c r="U76" s="4" t="str">
        <f aca="false">IF(P76&lt;0.05,"YES","no")</f>
        <v>no</v>
      </c>
      <c r="V76" s="4" t="str">
        <f aca="false">IF(N76&gt;1,"YES","no")</f>
        <v>no</v>
      </c>
    </row>
    <row r="77" customFormat="false" ht="15" hidden="false" customHeight="false" outlineLevel="0" collapsed="false">
      <c r="A77" s="4" t="s">
        <v>223</v>
      </c>
      <c r="B77" s="4" t="s">
        <v>224</v>
      </c>
      <c r="C77" s="4" t="s">
        <v>61</v>
      </c>
      <c r="D77" s="8" t="n">
        <v>579.0272</v>
      </c>
      <c r="E77" s="9" t="n">
        <v>10.234</v>
      </c>
      <c r="F77" s="10" t="n">
        <v>4011300.82718992</v>
      </c>
      <c r="G77" s="10" t="n">
        <v>862378.206881905</v>
      </c>
      <c r="H77" s="10" t="n">
        <v>7722584.48436521</v>
      </c>
      <c r="I77" s="10" t="n">
        <v>1508831.46249791</v>
      </c>
      <c r="J77" s="10" t="n">
        <v>5698247.94408778</v>
      </c>
      <c r="K77" s="11" t="n">
        <v>1.92520701315119</v>
      </c>
      <c r="L77" s="11" t="n">
        <v>0.945013583879801</v>
      </c>
      <c r="M77" s="11" t="n">
        <v>0.863415173323235</v>
      </c>
      <c r="N77" s="11" t="n">
        <v>0.583388994005195</v>
      </c>
      <c r="O77" s="12" t="n">
        <v>0.00263772619680115</v>
      </c>
      <c r="P77" s="12" t="n">
        <v>0.147180205171976</v>
      </c>
      <c r="Q77" s="4" t="n">
        <f aca="false">RANK(N77,$N$7:$N$307,0)</f>
        <v>71</v>
      </c>
      <c r="R77" s="4" t="n">
        <f aca="false">RANK(O77,$O$7:$O$307,1)</f>
        <v>5</v>
      </c>
      <c r="S77" s="4" t="n">
        <f aca="false">RANK(J77,$J$7:$J$307,0)</f>
        <v>124</v>
      </c>
      <c r="T77" s="4" t="str">
        <f aca="false">IF(O77&lt;0.05,"YES","no")</f>
        <v>YES</v>
      </c>
      <c r="U77" s="4" t="str">
        <f aca="false">IF(P77&lt;0.05,"YES","no")</f>
        <v>no</v>
      </c>
      <c r="V77" s="4" t="str">
        <f aca="false">IF(N77&gt;1,"YES","no")</f>
        <v>no</v>
      </c>
    </row>
    <row r="78" customFormat="false" ht="15" hidden="false" customHeight="false" outlineLevel="0" collapsed="false">
      <c r="A78" s="4" t="s">
        <v>251</v>
      </c>
      <c r="B78" s="4"/>
      <c r="C78" s="4" t="s">
        <v>61</v>
      </c>
      <c r="D78" s="8" t="n">
        <v>261.03698</v>
      </c>
      <c r="E78" s="9" t="n">
        <v>10.336</v>
      </c>
      <c r="F78" s="10" t="n">
        <v>5459786.90329455</v>
      </c>
      <c r="G78" s="10" t="n">
        <v>5042050.87013492</v>
      </c>
      <c r="H78" s="10" t="n">
        <v>11628911.7509249</v>
      </c>
      <c r="I78" s="10" t="n">
        <v>8966534.41054609</v>
      </c>
      <c r="J78" s="10" t="n">
        <v>8263934.56130837</v>
      </c>
      <c r="K78" s="11" t="n">
        <v>2.12992044504664</v>
      </c>
      <c r="L78" s="11" t="n">
        <v>1.09079954515528</v>
      </c>
      <c r="M78" s="11" t="n">
        <v>0.433432273023636</v>
      </c>
      <c r="N78" s="11" t="n">
        <v>0.566791478472234</v>
      </c>
      <c r="O78" s="12" t="n">
        <v>0.219750201902192</v>
      </c>
      <c r="P78" s="12" t="n">
        <v>0.546651328698842</v>
      </c>
      <c r="Q78" s="4" t="n">
        <f aca="false">RANK(N78,$N$7:$N$307,0)</f>
        <v>72</v>
      </c>
      <c r="R78" s="4" t="n">
        <f aca="false">RANK(O78,$O$7:$O$307,1)</f>
        <v>121</v>
      </c>
      <c r="S78" s="4" t="n">
        <f aca="false">RANK(J78,$J$7:$J$307,0)</f>
        <v>106</v>
      </c>
      <c r="T78" s="4" t="str">
        <f aca="false">IF(O78&lt;0.05,"YES","no")</f>
        <v>no</v>
      </c>
      <c r="U78" s="4" t="str">
        <f aca="false">IF(P78&lt;0.05,"YES","no")</f>
        <v>no</v>
      </c>
      <c r="V78" s="4" t="str">
        <f aca="false">IF(N78&gt;1,"YES","no")</f>
        <v>no</v>
      </c>
    </row>
    <row r="79" customFormat="false" ht="15" hidden="false" customHeight="false" outlineLevel="0" collapsed="false">
      <c r="A79" s="4" t="s">
        <v>188</v>
      </c>
      <c r="B79" s="4"/>
      <c r="C79" s="4" t="s">
        <v>61</v>
      </c>
      <c r="D79" s="8" t="n">
        <v>195.05091</v>
      </c>
      <c r="E79" s="9" t="n">
        <v>9.065</v>
      </c>
      <c r="F79" s="10" t="n">
        <v>9806915.39621764</v>
      </c>
      <c r="G79" s="10" t="n">
        <v>2907820.46519507</v>
      </c>
      <c r="H79" s="10" t="n">
        <v>14283348.1260299</v>
      </c>
      <c r="I79" s="10" t="n">
        <v>2961771.608451</v>
      </c>
      <c r="J79" s="10" t="n">
        <v>11841657.5461323</v>
      </c>
      <c r="K79" s="11" t="n">
        <v>1.45645675005402</v>
      </c>
      <c r="L79" s="11" t="n">
        <v>0.542462860826687</v>
      </c>
      <c r="M79" s="11" t="n">
        <v>0.643403503582313</v>
      </c>
      <c r="N79" s="11" t="n">
        <v>0.557506182268439</v>
      </c>
      <c r="O79" s="12" t="n">
        <v>0.0341334422652348</v>
      </c>
      <c r="P79" s="12" t="n">
        <v>0.389147141008843</v>
      </c>
      <c r="Q79" s="4" t="n">
        <f aca="false">RANK(N79,$N$7:$N$307,0)</f>
        <v>73</v>
      </c>
      <c r="R79" s="4" t="n">
        <f aca="false">RANK(O79,$O$7:$O$307,1)</f>
        <v>26</v>
      </c>
      <c r="S79" s="4" t="n">
        <f aca="false">RANK(J79,$J$7:$J$307,0)</f>
        <v>97</v>
      </c>
      <c r="T79" s="4" t="str">
        <f aca="false">IF(O79&lt;0.05,"YES","no")</f>
        <v>YES</v>
      </c>
      <c r="U79" s="4" t="str">
        <f aca="false">IF(P79&lt;0.05,"YES","no")</f>
        <v>no</v>
      </c>
      <c r="V79" s="4" t="str">
        <f aca="false">IF(N79&gt;1,"YES","no")</f>
        <v>no</v>
      </c>
    </row>
    <row r="80" customFormat="false" ht="15" hidden="false" customHeight="false" outlineLevel="0" collapsed="false">
      <c r="A80" s="4" t="s">
        <v>290</v>
      </c>
      <c r="B80" s="4"/>
      <c r="C80" s="4" t="s">
        <v>72</v>
      </c>
      <c r="D80" s="8" t="n">
        <v>382.55025</v>
      </c>
      <c r="E80" s="9" t="n">
        <v>8.732</v>
      </c>
      <c r="F80" s="10" t="n">
        <v>15884571.9644341</v>
      </c>
      <c r="G80" s="10" t="n">
        <v>8237190.82107639</v>
      </c>
      <c r="H80" s="10" t="n">
        <v>22369369.8753769</v>
      </c>
      <c r="I80" s="10" t="n">
        <v>13509089.7814528</v>
      </c>
      <c r="J80" s="10" t="n">
        <v>18832207.378499</v>
      </c>
      <c r="K80" s="11" t="n">
        <v>1.4082450522093</v>
      </c>
      <c r="L80" s="11" t="n">
        <v>0.493898402757548</v>
      </c>
      <c r="M80" s="11" t="n">
        <v>0.31124198416629</v>
      </c>
      <c r="N80" s="11" t="n">
        <v>0.553516258994745</v>
      </c>
      <c r="O80" s="12" t="n">
        <v>0.382473908103502</v>
      </c>
      <c r="P80" s="12" t="n">
        <v>0.631541534538384</v>
      </c>
      <c r="Q80" s="4" t="n">
        <f aca="false">RANK(N80,$N$7:$N$307,0)</f>
        <v>74</v>
      </c>
      <c r="R80" s="4" t="n">
        <f aca="false">RANK(O80,$O$7:$O$307,1)</f>
        <v>181</v>
      </c>
      <c r="S80" s="4" t="n">
        <f aca="false">RANK(J80,$J$7:$J$307,0)</f>
        <v>79</v>
      </c>
      <c r="T80" s="4" t="str">
        <f aca="false">IF(O80&lt;0.05,"YES","no")</f>
        <v>no</v>
      </c>
      <c r="U80" s="4" t="str">
        <f aca="false">IF(P80&lt;0.05,"YES","no")</f>
        <v>no</v>
      </c>
      <c r="V80" s="4" t="str">
        <f aca="false">IF(N80&gt;1,"YES","no")</f>
        <v>no</v>
      </c>
    </row>
    <row r="81" customFormat="false" ht="15" hidden="false" customHeight="false" outlineLevel="0" collapsed="false">
      <c r="A81" s="4" t="s">
        <v>159</v>
      </c>
      <c r="B81" s="4"/>
      <c r="C81" s="4" t="s">
        <v>72</v>
      </c>
      <c r="D81" s="8" t="n">
        <v>137.07089</v>
      </c>
      <c r="E81" s="9" t="n">
        <v>7.879</v>
      </c>
      <c r="F81" s="10" t="n">
        <v>39120020.6954626</v>
      </c>
      <c r="G81" s="10" t="n">
        <v>8470090.82056439</v>
      </c>
      <c r="H81" s="10" t="n">
        <v>43177063.0346571</v>
      </c>
      <c r="I81" s="10" t="n">
        <v>21991708.9550607</v>
      </c>
      <c r="J81" s="10" t="n">
        <v>40964130.8496419</v>
      </c>
      <c r="K81" s="11" t="n">
        <v>1.10370757139362</v>
      </c>
      <c r="L81" s="11" t="n">
        <v>0.142357979013902</v>
      </c>
      <c r="M81" s="11" t="n">
        <v>0.138560131385094</v>
      </c>
      <c r="N81" s="11" t="n">
        <v>0.550357006442901</v>
      </c>
      <c r="O81" s="12" t="n">
        <v>0.713214470944735</v>
      </c>
      <c r="P81" s="12" t="n">
        <v>0.856454635073149</v>
      </c>
      <c r="Q81" s="4" t="n">
        <f aca="false">RANK(N81,$N$7:$N$307,0)</f>
        <v>75</v>
      </c>
      <c r="R81" s="4" t="n">
        <f aca="false">RANK(O81,$O$7:$O$307,1)</f>
        <v>250</v>
      </c>
      <c r="S81" s="4" t="n">
        <f aca="false">RANK(J81,$J$7:$J$307,0)</f>
        <v>48</v>
      </c>
      <c r="T81" s="4" t="str">
        <f aca="false">IF(O81&lt;0.05,"YES","no")</f>
        <v>no</v>
      </c>
      <c r="U81" s="4" t="str">
        <f aca="false">IF(P81&lt;0.05,"YES","no")</f>
        <v>no</v>
      </c>
      <c r="V81" s="4" t="str">
        <f aca="false">IF(N81&gt;1,"YES","no")</f>
        <v>no</v>
      </c>
    </row>
    <row r="82" customFormat="false" ht="15" hidden="false" customHeight="false" outlineLevel="0" collapsed="false">
      <c r="A82" s="4" t="s">
        <v>156</v>
      </c>
      <c r="B82" s="4" t="s">
        <v>157</v>
      </c>
      <c r="C82" s="4" t="s">
        <v>72</v>
      </c>
      <c r="D82" s="8" t="n">
        <v>137.0709</v>
      </c>
      <c r="E82" s="9" t="n">
        <v>7.233</v>
      </c>
      <c r="F82" s="10" t="n">
        <v>51111419.1962645</v>
      </c>
      <c r="G82" s="10" t="n">
        <v>19224997.3749586</v>
      </c>
      <c r="H82" s="10" t="n">
        <v>44981267.0031902</v>
      </c>
      <c r="I82" s="10" t="n">
        <v>22864536.2958137</v>
      </c>
      <c r="J82" s="10" t="n">
        <v>48324986.3812308</v>
      </c>
      <c r="K82" s="11" t="n">
        <v>0.880062962651557</v>
      </c>
      <c r="L82" s="11" t="n">
        <v>-0.184321352210458</v>
      </c>
      <c r="M82" s="11" t="n">
        <v>0.159241706293703</v>
      </c>
      <c r="N82" s="11" t="n">
        <v>0.537629096038969</v>
      </c>
      <c r="O82" s="12" t="n">
        <v>0.647244998734029</v>
      </c>
      <c r="P82" s="12" t="n">
        <v>0.808384832443746</v>
      </c>
      <c r="Q82" s="4" t="n">
        <f aca="false">RANK(N82,$N$7:$N$307,0)</f>
        <v>76</v>
      </c>
      <c r="R82" s="4" t="n">
        <f aca="false">RANK(O82,$O$7:$O$307,1)</f>
        <v>241</v>
      </c>
      <c r="S82" s="4" t="n">
        <f aca="false">RANK(J82,$J$7:$J$307,0)</f>
        <v>43</v>
      </c>
      <c r="T82" s="4" t="str">
        <f aca="false">IF(O82&lt;0.05,"YES","no")</f>
        <v>no</v>
      </c>
      <c r="U82" s="4" t="str">
        <f aca="false">IF(P82&lt;0.05,"YES","no")</f>
        <v>no</v>
      </c>
      <c r="V82" s="4" t="str">
        <f aca="false">IF(N82&gt;1,"YES","no")</f>
        <v>no</v>
      </c>
    </row>
    <row r="83" customFormat="false" ht="15" hidden="false" customHeight="false" outlineLevel="0" collapsed="false">
      <c r="A83" s="4" t="s">
        <v>178</v>
      </c>
      <c r="B83" s="4"/>
      <c r="C83" s="4" t="s">
        <v>72</v>
      </c>
      <c r="D83" s="8" t="n">
        <v>229.15467</v>
      </c>
      <c r="E83" s="9" t="n">
        <v>9.96</v>
      </c>
      <c r="F83" s="10" t="n">
        <v>17043638.5486403</v>
      </c>
      <c r="G83" s="10" t="n">
        <v>17798889.5069542</v>
      </c>
      <c r="H83" s="10" t="n">
        <v>8731923.57733778</v>
      </c>
      <c r="I83" s="10" t="n">
        <v>2612587.47020464</v>
      </c>
      <c r="J83" s="10" t="n">
        <v>13265586.2889573</v>
      </c>
      <c r="K83" s="11" t="n">
        <v>0.512327432456282</v>
      </c>
      <c r="L83" s="11" t="n">
        <v>-0.964861952247616</v>
      </c>
      <c r="M83" s="11" t="n">
        <v>0.323558471051738</v>
      </c>
      <c r="N83" s="11" t="n">
        <v>0.534908793558994</v>
      </c>
      <c r="O83" s="12" t="n">
        <v>0.307626275266622</v>
      </c>
      <c r="P83" s="12" t="n">
        <v>0.617303392368354</v>
      </c>
      <c r="Q83" s="4" t="n">
        <f aca="false">RANK(N83,$N$7:$N$307,0)</f>
        <v>77</v>
      </c>
      <c r="R83" s="4" t="n">
        <f aca="false">RANK(O83,$O$7:$O$307,1)</f>
        <v>150</v>
      </c>
      <c r="S83" s="4" t="n">
        <f aca="false">RANK(J83,$J$7:$J$307,0)</f>
        <v>94</v>
      </c>
      <c r="T83" s="4" t="str">
        <f aca="false">IF(O83&lt;0.05,"YES","no")</f>
        <v>no</v>
      </c>
      <c r="U83" s="4" t="str">
        <f aca="false">IF(P83&lt;0.05,"YES","no")</f>
        <v>no</v>
      </c>
      <c r="V83" s="4" t="str">
        <f aca="false">IF(N83&gt;1,"YES","no")</f>
        <v>no</v>
      </c>
    </row>
    <row r="84" customFormat="false" ht="15" hidden="false" customHeight="false" outlineLevel="0" collapsed="false">
      <c r="A84" s="4" t="s">
        <v>162</v>
      </c>
      <c r="B84" s="4"/>
      <c r="C84" s="4" t="s">
        <v>72</v>
      </c>
      <c r="D84" s="8" t="n">
        <v>227.20158</v>
      </c>
      <c r="E84" s="9" t="n">
        <v>3.747</v>
      </c>
      <c r="F84" s="10" t="n">
        <v>41957266.8169734</v>
      </c>
      <c r="G84" s="10" t="n">
        <v>27642676.4638042</v>
      </c>
      <c r="H84" s="10" t="n">
        <v>33489780.3078904</v>
      </c>
      <c r="I84" s="10" t="n">
        <v>18115886.0192202</v>
      </c>
      <c r="J84" s="10" t="n">
        <v>38108409.3128448</v>
      </c>
      <c r="K84" s="11" t="n">
        <v>0.798187843216289</v>
      </c>
      <c r="L84" s="11" t="n">
        <v>-0.325199788808326</v>
      </c>
      <c r="M84" s="11" t="n">
        <v>0.191558415023338</v>
      </c>
      <c r="N84" s="11" t="n">
        <v>0.516086928584007</v>
      </c>
      <c r="O84" s="12" t="n">
        <v>0.557902011077397</v>
      </c>
      <c r="P84" s="12" t="n">
        <v>0.745013663004347</v>
      </c>
      <c r="Q84" s="4" t="n">
        <f aca="false">RANK(N84,$N$7:$N$307,0)</f>
        <v>78</v>
      </c>
      <c r="R84" s="4" t="n">
        <f aca="false">RANK(O84,$O$7:$O$307,1)</f>
        <v>225</v>
      </c>
      <c r="S84" s="4" t="n">
        <f aca="false">RANK(J84,$J$7:$J$307,0)</f>
        <v>51</v>
      </c>
      <c r="T84" s="4" t="str">
        <f aca="false">IF(O84&lt;0.05,"YES","no")</f>
        <v>no</v>
      </c>
      <c r="U84" s="4" t="str">
        <f aca="false">IF(P84&lt;0.05,"YES","no")</f>
        <v>no</v>
      </c>
      <c r="V84" s="4" t="str">
        <f aca="false">IF(N84&gt;1,"YES","no")</f>
        <v>no</v>
      </c>
    </row>
    <row r="85" customFormat="false" ht="15" hidden="false" customHeight="false" outlineLevel="0" collapsed="false">
      <c r="A85" s="4" t="s">
        <v>209</v>
      </c>
      <c r="B85" s="4"/>
      <c r="C85" s="4" t="s">
        <v>72</v>
      </c>
      <c r="D85" s="8" t="n">
        <v>103.04004</v>
      </c>
      <c r="E85" s="9" t="n">
        <v>8.188</v>
      </c>
      <c r="F85" s="10" t="n">
        <v>5988001.96711269</v>
      </c>
      <c r="G85" s="10" t="n">
        <v>4243921.88607007</v>
      </c>
      <c r="H85" s="10" t="n">
        <v>1911789.07092284</v>
      </c>
      <c r="I85" s="10" t="n">
        <v>740336.921543921</v>
      </c>
      <c r="J85" s="10" t="n">
        <v>4135177.92339003</v>
      </c>
      <c r="K85" s="11" t="n">
        <v>0.319269947041228</v>
      </c>
      <c r="L85" s="11" t="n">
        <v>-1.64715133682788</v>
      </c>
      <c r="M85" s="11" t="n">
        <v>0.573947583789601</v>
      </c>
      <c r="N85" s="11" t="n">
        <v>0.515634166709872</v>
      </c>
      <c r="O85" s="12" t="n">
        <v>0.0653113447117875</v>
      </c>
      <c r="P85" s="12" t="n">
        <v>0.473393770420731</v>
      </c>
      <c r="Q85" s="4" t="n">
        <f aca="false">RANK(N85,$N$7:$N$307,0)</f>
        <v>79</v>
      </c>
      <c r="R85" s="4" t="n">
        <f aca="false">RANK(O85,$O$7:$O$307,1)</f>
        <v>39</v>
      </c>
      <c r="S85" s="4" t="n">
        <f aca="false">RANK(J85,$J$7:$J$307,0)</f>
        <v>138</v>
      </c>
      <c r="T85" s="4" t="str">
        <f aca="false">IF(O85&lt;0.05,"YES","no")</f>
        <v>no</v>
      </c>
      <c r="U85" s="4" t="str">
        <f aca="false">IF(P85&lt;0.05,"YES","no")</f>
        <v>no</v>
      </c>
      <c r="V85" s="4" t="str">
        <f aca="false">IF(N85&gt;1,"YES","no")</f>
        <v>no</v>
      </c>
    </row>
    <row r="86" customFormat="false" ht="15" hidden="false" customHeight="false" outlineLevel="0" collapsed="false">
      <c r="A86" s="4" t="s">
        <v>135</v>
      </c>
      <c r="B86" s="4"/>
      <c r="C86" s="4" t="s">
        <v>61</v>
      </c>
      <c r="D86" s="8" t="n">
        <v>118.06106</v>
      </c>
      <c r="E86" s="9" t="n">
        <v>11.849</v>
      </c>
      <c r="F86" s="10" t="n">
        <v>15033342.5063547</v>
      </c>
      <c r="G86" s="10" t="n">
        <v>4124355.72294212</v>
      </c>
      <c r="H86" s="10" t="n">
        <v>11167248.7520651</v>
      </c>
      <c r="I86" s="10" t="n">
        <v>2348898.47786808</v>
      </c>
      <c r="J86" s="10" t="n">
        <v>13276027.1634958</v>
      </c>
      <c r="K86" s="11" t="n">
        <v>0.742832057963465</v>
      </c>
      <c r="L86" s="11" t="n">
        <v>-0.428892016734508</v>
      </c>
      <c r="M86" s="11" t="n">
        <v>0.52501934434416</v>
      </c>
      <c r="N86" s="11" t="n">
        <v>0.4758066412355</v>
      </c>
      <c r="O86" s="12" t="n">
        <v>0.0867448134178722</v>
      </c>
      <c r="P86" s="12" t="n">
        <v>0.483522015532954</v>
      </c>
      <c r="Q86" s="4" t="n">
        <f aca="false">RANK(N86,$N$7:$N$307,0)</f>
        <v>80</v>
      </c>
      <c r="R86" s="4" t="n">
        <f aca="false">RANK(O86,$O$7:$O$307,1)</f>
        <v>54</v>
      </c>
      <c r="S86" s="4" t="n">
        <f aca="false">RANK(J86,$J$7:$J$307,0)</f>
        <v>93</v>
      </c>
      <c r="T86" s="4" t="str">
        <f aca="false">IF(O86&lt;0.05,"YES","no")</f>
        <v>no</v>
      </c>
      <c r="U86" s="4" t="str">
        <f aca="false">IF(P86&lt;0.05,"YES","no")</f>
        <v>no</v>
      </c>
      <c r="V86" s="4" t="str">
        <f aca="false">IF(N86&gt;1,"YES","no")</f>
        <v>no</v>
      </c>
    </row>
    <row r="87" customFormat="false" ht="15" hidden="false" customHeight="false" outlineLevel="0" collapsed="false">
      <c r="A87" s="4" t="s">
        <v>100</v>
      </c>
      <c r="B87" s="4" t="s">
        <v>101</v>
      </c>
      <c r="C87" s="4" t="s">
        <v>61</v>
      </c>
      <c r="D87" s="8" t="n">
        <v>182.08114</v>
      </c>
      <c r="E87" s="9" t="n">
        <v>10.237</v>
      </c>
      <c r="F87" s="10" t="n">
        <v>28634381.5174886</v>
      </c>
      <c r="G87" s="10" t="n">
        <v>8839715.58820128</v>
      </c>
      <c r="H87" s="10" t="n">
        <v>33779348.0875845</v>
      </c>
      <c r="I87" s="10" t="n">
        <v>5521824.87003986</v>
      </c>
      <c r="J87" s="10" t="n">
        <v>30973002.685714</v>
      </c>
      <c r="K87" s="11" t="n">
        <v>1.17967793601386</v>
      </c>
      <c r="L87" s="11" t="n">
        <v>0.238393043031526</v>
      </c>
      <c r="M87" s="11" t="n">
        <v>0.351335221221784</v>
      </c>
      <c r="N87" s="11" t="n">
        <v>0.475216219779589</v>
      </c>
      <c r="O87" s="12" t="n">
        <v>0.271406016559307</v>
      </c>
      <c r="P87" s="12" t="n">
        <v>0.589747674995542</v>
      </c>
      <c r="Q87" s="4" t="n">
        <f aca="false">RANK(N87,$N$7:$N$307,0)</f>
        <v>81</v>
      </c>
      <c r="R87" s="4" t="n">
        <f aca="false">RANK(O87,$O$7:$O$307,1)</f>
        <v>138</v>
      </c>
      <c r="S87" s="4" t="n">
        <f aca="false">RANK(J87,$J$7:$J$307,0)</f>
        <v>62</v>
      </c>
      <c r="T87" s="4" t="str">
        <f aca="false">IF(O87&lt;0.05,"YES","no")</f>
        <v>no</v>
      </c>
      <c r="U87" s="4" t="str">
        <f aca="false">IF(P87&lt;0.05,"YES","no")</f>
        <v>no</v>
      </c>
      <c r="V87" s="4" t="str">
        <f aca="false">IF(N87&gt;1,"YES","no")</f>
        <v>no</v>
      </c>
    </row>
    <row r="88" customFormat="false" ht="15" hidden="false" customHeight="false" outlineLevel="0" collapsed="false">
      <c r="A88" s="4" t="s">
        <v>336</v>
      </c>
      <c r="B88" s="4"/>
      <c r="C88" s="4" t="s">
        <v>72</v>
      </c>
      <c r="D88" s="8" t="n">
        <v>260.16046</v>
      </c>
      <c r="E88" s="9" t="n">
        <v>6.994</v>
      </c>
      <c r="F88" s="10" t="n">
        <v>4046979.73158344</v>
      </c>
      <c r="G88" s="10" t="n">
        <v>2183157.62939448</v>
      </c>
      <c r="H88" s="10" t="n">
        <v>7471200.79241115</v>
      </c>
      <c r="I88" s="10" t="n">
        <v>3313412.24843794</v>
      </c>
      <c r="J88" s="10" t="n">
        <v>5603443.85014149</v>
      </c>
      <c r="K88" s="11" t="n">
        <v>1.84611766995135</v>
      </c>
      <c r="L88" s="11" t="n">
        <v>0.884494512054607</v>
      </c>
      <c r="M88" s="11" t="n">
        <v>0.566274197188172</v>
      </c>
      <c r="N88" s="11" t="n">
        <v>0.464541359712558</v>
      </c>
      <c r="O88" s="12" t="n">
        <v>0.0898951147059993</v>
      </c>
      <c r="P88" s="12" t="n">
        <v>0.486863080767276</v>
      </c>
      <c r="Q88" s="4" t="n">
        <f aca="false">RANK(N88,$N$7:$N$307,0)</f>
        <v>82</v>
      </c>
      <c r="R88" s="4" t="n">
        <f aca="false">RANK(O88,$O$7:$O$307,1)</f>
        <v>55</v>
      </c>
      <c r="S88" s="4" t="n">
        <f aca="false">RANK(J88,$J$7:$J$307,0)</f>
        <v>126</v>
      </c>
      <c r="T88" s="4" t="str">
        <f aca="false">IF(O88&lt;0.05,"YES","no")</f>
        <v>no</v>
      </c>
      <c r="U88" s="4" t="str">
        <f aca="false">IF(P88&lt;0.05,"YES","no")</f>
        <v>no</v>
      </c>
      <c r="V88" s="4" t="str">
        <f aca="false">IF(N88&gt;1,"YES","no")</f>
        <v>no</v>
      </c>
    </row>
    <row r="89" customFormat="false" ht="15" hidden="false" customHeight="false" outlineLevel="0" collapsed="false">
      <c r="A89" s="4" t="s">
        <v>227</v>
      </c>
      <c r="B89" s="4" t="s">
        <v>228</v>
      </c>
      <c r="C89" s="4" t="s">
        <v>72</v>
      </c>
      <c r="D89" s="8" t="n">
        <v>399.14458</v>
      </c>
      <c r="E89" s="9" t="n">
        <v>13.827</v>
      </c>
      <c r="F89" s="10" t="n">
        <v>14353152.1689262</v>
      </c>
      <c r="G89" s="10" t="n">
        <v>5005767.31827731</v>
      </c>
      <c r="H89" s="10" t="n">
        <v>18388939.4501964</v>
      </c>
      <c r="I89" s="10" t="n">
        <v>4304959.56400604</v>
      </c>
      <c r="J89" s="10" t="n">
        <v>16187600.9331399</v>
      </c>
      <c r="K89" s="11" t="n">
        <v>1.28117776734838</v>
      </c>
      <c r="L89" s="11" t="n">
        <v>0.357470667934457</v>
      </c>
      <c r="M89" s="11" t="n">
        <v>0.426815475603229</v>
      </c>
      <c r="N89" s="11" t="n">
        <v>0.445092811010087</v>
      </c>
      <c r="O89" s="12" t="n">
        <v>0.184526630280304</v>
      </c>
      <c r="P89" s="12" t="n">
        <v>0.545793274011047</v>
      </c>
      <c r="Q89" s="4" t="n">
        <f aca="false">RANK(N89,$N$7:$N$307,0)</f>
        <v>83</v>
      </c>
      <c r="R89" s="4" t="n">
        <f aca="false">RANK(O89,$O$7:$O$307,1)</f>
        <v>100</v>
      </c>
      <c r="S89" s="4" t="n">
        <f aca="false">RANK(J89,$J$7:$J$307,0)</f>
        <v>83</v>
      </c>
      <c r="T89" s="4" t="str">
        <f aca="false">IF(O89&lt;0.05,"YES","no")</f>
        <v>no</v>
      </c>
      <c r="U89" s="4" t="str">
        <f aca="false">IF(P89&lt;0.05,"YES","no")</f>
        <v>no</v>
      </c>
      <c r="V89" s="4" t="str">
        <f aca="false">IF(N89&gt;1,"YES","no")</f>
        <v>no</v>
      </c>
    </row>
    <row r="90" customFormat="false" ht="15" hidden="false" customHeight="false" outlineLevel="0" collapsed="false">
      <c r="A90" s="4" t="s">
        <v>141</v>
      </c>
      <c r="B90" s="4" t="s">
        <v>142</v>
      </c>
      <c r="C90" s="4" t="s">
        <v>61</v>
      </c>
      <c r="D90" s="8" t="n">
        <v>606.07472</v>
      </c>
      <c r="E90" s="9" t="n">
        <v>8.878</v>
      </c>
      <c r="F90" s="10" t="n">
        <v>26055032.6984691</v>
      </c>
      <c r="G90" s="10" t="n">
        <v>9906064.11858269</v>
      </c>
      <c r="H90" s="10" t="n">
        <v>29839925.9528269</v>
      </c>
      <c r="I90" s="10" t="n">
        <v>14196093.6062277</v>
      </c>
      <c r="J90" s="10" t="n">
        <v>27775438.7231772</v>
      </c>
      <c r="K90" s="11" t="n">
        <v>1.14526534271363</v>
      </c>
      <c r="L90" s="11" t="n">
        <v>0.195681890259193</v>
      </c>
      <c r="M90" s="11" t="n">
        <v>0.171017803858845</v>
      </c>
      <c r="N90" s="11" t="n">
        <v>0.431709354634111</v>
      </c>
      <c r="O90" s="12" t="n">
        <v>0.630554672274328</v>
      </c>
      <c r="P90" s="12" t="n">
        <v>0.800831039470771</v>
      </c>
      <c r="Q90" s="4" t="n">
        <f aca="false">RANK(N90,$N$7:$N$307,0)</f>
        <v>84</v>
      </c>
      <c r="R90" s="4" t="n">
        <f aca="false">RANK(O90,$O$7:$O$307,1)</f>
        <v>237</v>
      </c>
      <c r="S90" s="4" t="n">
        <f aca="false">RANK(J90,$J$7:$J$307,0)</f>
        <v>67</v>
      </c>
      <c r="T90" s="4" t="str">
        <f aca="false">IF(O90&lt;0.05,"YES","no")</f>
        <v>no</v>
      </c>
      <c r="U90" s="4" t="str">
        <f aca="false">IF(P90&lt;0.05,"YES","no")</f>
        <v>no</v>
      </c>
      <c r="V90" s="4" t="str">
        <f aca="false">IF(N90&gt;1,"YES","no")</f>
        <v>no</v>
      </c>
    </row>
    <row r="91" customFormat="false" ht="15" hidden="false" customHeight="false" outlineLevel="0" collapsed="false">
      <c r="A91" s="4" t="s">
        <v>120</v>
      </c>
      <c r="B91" s="4" t="s">
        <v>121</v>
      </c>
      <c r="C91" s="4" t="s">
        <v>61</v>
      </c>
      <c r="D91" s="8" t="n">
        <v>176.10294</v>
      </c>
      <c r="E91" s="9" t="n">
        <v>11.63</v>
      </c>
      <c r="F91" s="10" t="n">
        <v>32299105.1853829</v>
      </c>
      <c r="G91" s="10" t="n">
        <v>8501919.03383881</v>
      </c>
      <c r="H91" s="10" t="n">
        <v>37199850.2728241</v>
      </c>
      <c r="I91" s="10" t="n">
        <v>12596241.7021433</v>
      </c>
      <c r="J91" s="10" t="n">
        <v>34526716.5887653</v>
      </c>
      <c r="K91" s="11" t="n">
        <v>1.15173005751438</v>
      </c>
      <c r="L91" s="11" t="n">
        <v>0.203802617543434</v>
      </c>
      <c r="M91" s="11" t="n">
        <v>0.248399566639931</v>
      </c>
      <c r="N91" s="11" t="n">
        <v>0.428055365987815</v>
      </c>
      <c r="O91" s="12" t="n">
        <v>0.483586192114407</v>
      </c>
      <c r="P91" s="12" t="n">
        <v>0.700448056669827</v>
      </c>
      <c r="Q91" s="4" t="n">
        <f aca="false">RANK(N91,$N$7:$N$307,0)</f>
        <v>85</v>
      </c>
      <c r="R91" s="4" t="n">
        <f aca="false">RANK(O91,$O$7:$O$307,1)</f>
        <v>206</v>
      </c>
      <c r="S91" s="4" t="n">
        <f aca="false">RANK(J91,$J$7:$J$307,0)</f>
        <v>57</v>
      </c>
      <c r="T91" s="4" t="str">
        <f aca="false">IF(O91&lt;0.05,"YES","no")</f>
        <v>no</v>
      </c>
      <c r="U91" s="4" t="str">
        <f aca="false">IF(P91&lt;0.05,"YES","no")</f>
        <v>no</v>
      </c>
      <c r="V91" s="4" t="str">
        <f aca="false">IF(N91&gt;1,"YES","no")</f>
        <v>no</v>
      </c>
    </row>
    <row r="92" customFormat="false" ht="15" hidden="false" customHeight="false" outlineLevel="0" collapsed="false">
      <c r="A92" s="4" t="s">
        <v>145</v>
      </c>
      <c r="B92" s="4"/>
      <c r="C92" s="4" t="s">
        <v>61</v>
      </c>
      <c r="D92" s="8" t="n">
        <v>167.02115</v>
      </c>
      <c r="E92" s="9" t="n">
        <v>8.643</v>
      </c>
      <c r="F92" s="10" t="n">
        <v>17845077.7208843</v>
      </c>
      <c r="G92" s="10" t="n">
        <v>11605243.1745182</v>
      </c>
      <c r="H92" s="10" t="n">
        <v>20185029.1520667</v>
      </c>
      <c r="I92" s="10" t="n">
        <v>9619543.63079032</v>
      </c>
      <c r="J92" s="10" t="n">
        <v>18908692.0077854</v>
      </c>
      <c r="K92" s="11" t="n">
        <v>1.13112587503297</v>
      </c>
      <c r="L92" s="11" t="n">
        <v>0.177759485632787</v>
      </c>
      <c r="M92" s="11" t="n">
        <v>0.118776096691097</v>
      </c>
      <c r="N92" s="11" t="n">
        <v>0.425555948738174</v>
      </c>
      <c r="O92" s="12" t="n">
        <v>0.723078946482802</v>
      </c>
      <c r="P92" s="12" t="n">
        <v>0.856454635073149</v>
      </c>
      <c r="Q92" s="4" t="n">
        <f aca="false">RANK(N92,$N$7:$N$307,0)</f>
        <v>86</v>
      </c>
      <c r="R92" s="4" t="n">
        <f aca="false">RANK(O92,$O$7:$O$307,1)</f>
        <v>254</v>
      </c>
      <c r="S92" s="4" t="n">
        <f aca="false">RANK(J92,$J$7:$J$307,0)</f>
        <v>78</v>
      </c>
      <c r="T92" s="4" t="str">
        <f aca="false">IF(O92&lt;0.05,"YES","no")</f>
        <v>no</v>
      </c>
      <c r="U92" s="4" t="str">
        <f aca="false">IF(P92&lt;0.05,"YES","no")</f>
        <v>no</v>
      </c>
      <c r="V92" s="4" t="str">
        <f aca="false">IF(N92&gt;1,"YES","no")</f>
        <v>no</v>
      </c>
    </row>
    <row r="93" customFormat="false" ht="15" hidden="false" customHeight="false" outlineLevel="0" collapsed="false">
      <c r="A93" s="4" t="s">
        <v>140</v>
      </c>
      <c r="B93" s="4"/>
      <c r="C93" s="4" t="s">
        <v>61</v>
      </c>
      <c r="D93" s="8" t="n">
        <v>508.00291</v>
      </c>
      <c r="E93" s="9" t="n">
        <v>10.408</v>
      </c>
      <c r="F93" s="10" t="n">
        <v>18469582.1898512</v>
      </c>
      <c r="G93" s="10" t="n">
        <v>4220128.45309344</v>
      </c>
      <c r="H93" s="10" t="n">
        <v>14040730.5164886</v>
      </c>
      <c r="I93" s="10" t="n">
        <v>10517561.243515</v>
      </c>
      <c r="J93" s="10" t="n">
        <v>16456467.7928682</v>
      </c>
      <c r="K93" s="11" t="n">
        <v>0.760208345384435</v>
      </c>
      <c r="L93" s="11" t="n">
        <v>-0.395533232041268</v>
      </c>
      <c r="M93" s="11" t="n">
        <v>0.302392222489249</v>
      </c>
      <c r="N93" s="11" t="n">
        <v>0.425097064387825</v>
      </c>
      <c r="O93" s="12" t="n">
        <v>0.41655303553564</v>
      </c>
      <c r="P93" s="12" t="n">
        <v>0.663399278816019</v>
      </c>
      <c r="Q93" s="4" t="n">
        <f aca="false">RANK(N93,$N$7:$N$307,0)</f>
        <v>87</v>
      </c>
      <c r="R93" s="4" t="n">
        <f aca="false">RANK(O93,$O$7:$O$307,1)</f>
        <v>189</v>
      </c>
      <c r="S93" s="4" t="n">
        <f aca="false">RANK(J93,$J$7:$J$307,0)</f>
        <v>82</v>
      </c>
      <c r="T93" s="4" t="str">
        <f aca="false">IF(O93&lt;0.05,"YES","no")</f>
        <v>no</v>
      </c>
      <c r="U93" s="4" t="str">
        <f aca="false">IF(P93&lt;0.05,"YES","no")</f>
        <v>no</v>
      </c>
      <c r="V93" s="4" t="str">
        <f aca="false">IF(N93&gt;1,"YES","no")</f>
        <v>no</v>
      </c>
    </row>
    <row r="94" customFormat="false" ht="15" hidden="false" customHeight="false" outlineLevel="0" collapsed="false">
      <c r="A94" s="4" t="s">
        <v>89</v>
      </c>
      <c r="B94" s="4"/>
      <c r="C94" s="4" t="s">
        <v>61</v>
      </c>
      <c r="D94" s="8" t="n">
        <v>220.11801</v>
      </c>
      <c r="E94" s="9" t="n">
        <v>6.937</v>
      </c>
      <c r="F94" s="10" t="n">
        <v>111088535.483727</v>
      </c>
      <c r="G94" s="10" t="n">
        <v>39213953.6505506</v>
      </c>
      <c r="H94" s="10" t="n">
        <v>108029936.212125</v>
      </c>
      <c r="I94" s="10" t="n">
        <v>36577797.0149324</v>
      </c>
      <c r="J94" s="10" t="n">
        <v>109698263.087544</v>
      </c>
      <c r="K94" s="11" t="n">
        <v>0.972467012385357</v>
      </c>
      <c r="L94" s="11" t="n">
        <v>-0.0402787824494369</v>
      </c>
      <c r="M94" s="11" t="n">
        <v>0.0441892649423415</v>
      </c>
      <c r="N94" s="11" t="n">
        <v>0.419771127157134</v>
      </c>
      <c r="O94" s="12" t="n">
        <v>0.896685938681605</v>
      </c>
      <c r="P94" s="12" t="n">
        <v>0.933918572813714</v>
      </c>
      <c r="Q94" s="4" t="n">
        <f aca="false">RANK(N94,$N$7:$N$307,0)</f>
        <v>88</v>
      </c>
      <c r="R94" s="4" t="n">
        <f aca="false">RANK(O94,$O$7:$O$307,1)</f>
        <v>289</v>
      </c>
      <c r="S94" s="4" t="n">
        <f aca="false">RANK(J94,$J$7:$J$307,0)</f>
        <v>26</v>
      </c>
      <c r="T94" s="4" t="str">
        <f aca="false">IF(O94&lt;0.05,"YES","no")</f>
        <v>no</v>
      </c>
      <c r="U94" s="4" t="str">
        <f aca="false">IF(P94&lt;0.05,"YES","no")</f>
        <v>no</v>
      </c>
      <c r="V94" s="4" t="str">
        <f aca="false">IF(N94&gt;1,"YES","no")</f>
        <v>no</v>
      </c>
    </row>
    <row r="95" customFormat="false" ht="15" hidden="false" customHeight="false" outlineLevel="0" collapsed="false">
      <c r="A95" s="4" t="s">
        <v>130</v>
      </c>
      <c r="B95" s="4"/>
      <c r="C95" s="4" t="s">
        <v>72</v>
      </c>
      <c r="D95" s="8" t="n">
        <v>220.11791</v>
      </c>
      <c r="E95" s="9" t="n">
        <v>5.093</v>
      </c>
      <c r="F95" s="10" t="n">
        <v>37269054.9072303</v>
      </c>
      <c r="G95" s="10" t="n">
        <v>11137284.9665906</v>
      </c>
      <c r="H95" s="10" t="n">
        <v>31638004.6664282</v>
      </c>
      <c r="I95" s="10" t="n">
        <v>14060119.1513814</v>
      </c>
      <c r="J95" s="10" t="n">
        <v>34709486.6159566</v>
      </c>
      <c r="K95" s="11" t="n">
        <v>0.848908155712055</v>
      </c>
      <c r="L95" s="11" t="n">
        <v>-0.236319619396836</v>
      </c>
      <c r="M95" s="11" t="n">
        <v>0.240315410515909</v>
      </c>
      <c r="N95" s="11" t="n">
        <v>0.418260507794115</v>
      </c>
      <c r="O95" s="12" t="n">
        <v>0.489733940636399</v>
      </c>
      <c r="P95" s="12" t="n">
        <v>0.700448056669827</v>
      </c>
      <c r="Q95" s="4" t="n">
        <f aca="false">RANK(N95,$N$7:$N$307,0)</f>
        <v>89</v>
      </c>
      <c r="R95" s="4" t="n">
        <f aca="false">RANK(O95,$O$7:$O$307,1)</f>
        <v>209</v>
      </c>
      <c r="S95" s="4" t="n">
        <f aca="false">RANK(J95,$J$7:$J$307,0)</f>
        <v>55</v>
      </c>
      <c r="T95" s="4" t="str">
        <f aca="false">IF(O95&lt;0.05,"YES","no")</f>
        <v>no</v>
      </c>
      <c r="U95" s="4" t="str">
        <f aca="false">IF(P95&lt;0.05,"YES","no")</f>
        <v>no</v>
      </c>
      <c r="V95" s="4" t="str">
        <f aca="false">IF(N95&gt;1,"YES","no")</f>
        <v>no</v>
      </c>
    </row>
    <row r="96" customFormat="false" ht="15" hidden="false" customHeight="false" outlineLevel="0" collapsed="false">
      <c r="A96" s="4" t="s">
        <v>216</v>
      </c>
      <c r="B96" s="4"/>
      <c r="C96" s="4" t="s">
        <v>72</v>
      </c>
      <c r="D96" s="8" t="n">
        <v>140.01177</v>
      </c>
      <c r="E96" s="9" t="n">
        <v>11</v>
      </c>
      <c r="F96" s="10" t="n">
        <v>7641773.73956363</v>
      </c>
      <c r="G96" s="10" t="n">
        <v>1944342.6932885</v>
      </c>
      <c r="H96" s="10" t="n">
        <v>5141833.50528199</v>
      </c>
      <c r="I96" s="10" t="n">
        <v>1076285.1397367</v>
      </c>
      <c r="J96" s="10" t="n">
        <v>6505437.26943561</v>
      </c>
      <c r="K96" s="11" t="n">
        <v>0.672858642576822</v>
      </c>
      <c r="L96" s="11" t="n">
        <v>-0.571624646625038</v>
      </c>
      <c r="M96" s="11" t="n">
        <v>0.648089514640901</v>
      </c>
      <c r="N96" s="11" t="n">
        <v>0.41567748055987</v>
      </c>
      <c r="O96" s="12" t="n">
        <v>0.0273663154545534</v>
      </c>
      <c r="P96" s="12" t="n">
        <v>0.376578156100929</v>
      </c>
      <c r="Q96" s="4" t="n">
        <f aca="false">RANK(N96,$N$7:$N$307,0)</f>
        <v>90</v>
      </c>
      <c r="R96" s="4" t="n">
        <f aca="false">RANK(O96,$O$7:$O$307,1)</f>
        <v>21</v>
      </c>
      <c r="S96" s="4" t="n">
        <f aca="false">RANK(J96,$J$7:$J$307,0)</f>
        <v>121</v>
      </c>
      <c r="T96" s="4" t="str">
        <f aca="false">IF(O96&lt;0.05,"YES","no")</f>
        <v>YES</v>
      </c>
      <c r="U96" s="4" t="str">
        <f aca="false">IF(P96&lt;0.05,"YES","no")</f>
        <v>no</v>
      </c>
      <c r="V96" s="4" t="str">
        <f aca="false">IF(N96&gt;1,"YES","no")</f>
        <v>no</v>
      </c>
    </row>
    <row r="97" customFormat="false" ht="15" hidden="false" customHeight="false" outlineLevel="0" collapsed="false">
      <c r="A97" s="4" t="s">
        <v>412</v>
      </c>
      <c r="B97" s="4"/>
      <c r="C97" s="4" t="s">
        <v>72</v>
      </c>
      <c r="D97" s="8" t="n">
        <v>219.0986</v>
      </c>
      <c r="E97" s="9" t="n">
        <v>8.148</v>
      </c>
      <c r="F97" s="10" t="n">
        <v>885589.715559576</v>
      </c>
      <c r="G97" s="10" t="n">
        <v>629037.99297085</v>
      </c>
      <c r="H97" s="10" t="n">
        <v>2905075.47972519</v>
      </c>
      <c r="I97" s="10" t="n">
        <v>1172598.13547876</v>
      </c>
      <c r="J97" s="10" t="n">
        <v>1803537.79018031</v>
      </c>
      <c r="K97" s="11" t="n">
        <v>3.28038529432285</v>
      </c>
      <c r="L97" s="11" t="n">
        <v>1.71386527507612</v>
      </c>
      <c r="M97" s="11" t="n">
        <v>0.773278450938295</v>
      </c>
      <c r="N97" s="11" t="n">
        <v>0.407109678729986</v>
      </c>
      <c r="O97" s="12" t="n">
        <v>0.0139399668073874</v>
      </c>
      <c r="P97" s="12" t="n">
        <v>0.269700284916156</v>
      </c>
      <c r="Q97" s="4" t="n">
        <f aca="false">RANK(N97,$N$7:$N$307,0)</f>
        <v>91</v>
      </c>
      <c r="R97" s="4" t="n">
        <f aca="false">RANK(O97,$O$7:$O$307,1)</f>
        <v>15</v>
      </c>
      <c r="S97" s="4" t="n">
        <f aca="false">RANK(J97,$J$7:$J$307,0)</f>
        <v>185</v>
      </c>
      <c r="T97" s="4" t="str">
        <f aca="false">IF(O97&lt;0.05,"YES","no")</f>
        <v>YES</v>
      </c>
      <c r="U97" s="4" t="str">
        <f aca="false">IF(P97&lt;0.05,"YES","no")</f>
        <v>no</v>
      </c>
      <c r="V97" s="4" t="str">
        <f aca="false">IF(N97&gt;1,"YES","no")</f>
        <v>no</v>
      </c>
    </row>
    <row r="98" customFormat="false" ht="15" hidden="false" customHeight="false" outlineLevel="0" collapsed="false">
      <c r="A98" s="4" t="s">
        <v>149</v>
      </c>
      <c r="B98" s="4"/>
      <c r="C98" s="4" t="s">
        <v>61</v>
      </c>
      <c r="D98" s="8" t="n">
        <v>128.03532</v>
      </c>
      <c r="E98" s="9" t="n">
        <v>7.876</v>
      </c>
      <c r="F98" s="10" t="n">
        <v>10019135.0376688</v>
      </c>
      <c r="G98" s="10" t="n">
        <v>3022323.52196709</v>
      </c>
      <c r="H98" s="10" t="n">
        <v>13225399.7906845</v>
      </c>
      <c r="I98" s="10" t="n">
        <v>3858562.96659211</v>
      </c>
      <c r="J98" s="10" t="n">
        <v>11476528.1072214</v>
      </c>
      <c r="K98" s="11" t="n">
        <v>1.32001412706398</v>
      </c>
      <c r="L98" s="11" t="n">
        <v>0.400553369686824</v>
      </c>
      <c r="M98" s="11" t="n">
        <v>0.458679088455085</v>
      </c>
      <c r="N98" s="11" t="n">
        <v>0.404232800277023</v>
      </c>
      <c r="O98" s="12" t="n">
        <v>0.171317297156006</v>
      </c>
      <c r="P98" s="12" t="n">
        <v>0.545793274011047</v>
      </c>
      <c r="Q98" s="4" t="n">
        <f aca="false">RANK(N98,$N$7:$N$307,0)</f>
        <v>92</v>
      </c>
      <c r="R98" s="4" t="n">
        <f aca="false">RANK(O98,$O$7:$O$307,1)</f>
        <v>90</v>
      </c>
      <c r="S98" s="4" t="n">
        <f aca="false">RANK(J98,$J$7:$J$307,0)</f>
        <v>98</v>
      </c>
      <c r="T98" s="4" t="str">
        <f aca="false">IF(O98&lt;0.05,"YES","no")</f>
        <v>no</v>
      </c>
      <c r="U98" s="4" t="str">
        <f aca="false">IF(P98&lt;0.05,"YES","no")</f>
        <v>no</v>
      </c>
      <c r="V98" s="4" t="str">
        <f aca="false">IF(N98&gt;1,"YES","no")</f>
        <v>no</v>
      </c>
    </row>
    <row r="99" customFormat="false" ht="15" hidden="false" customHeight="false" outlineLevel="0" collapsed="false">
      <c r="A99" s="4" t="s">
        <v>185</v>
      </c>
      <c r="B99" s="4"/>
      <c r="C99" s="4" t="s">
        <v>61</v>
      </c>
      <c r="D99" s="8" t="n">
        <v>134.04474</v>
      </c>
      <c r="E99" s="9" t="n">
        <v>9.92</v>
      </c>
      <c r="F99" s="10" t="n">
        <v>13736959.3610632</v>
      </c>
      <c r="G99" s="10" t="n">
        <v>3802243.23768484</v>
      </c>
      <c r="H99" s="10" t="n">
        <v>17353297.8130162</v>
      </c>
      <c r="I99" s="10" t="n">
        <v>4840204.67370679</v>
      </c>
      <c r="J99" s="10" t="n">
        <v>15380749.5664964</v>
      </c>
      <c r="K99" s="11" t="n">
        <v>1.26325610762184</v>
      </c>
      <c r="L99" s="11" t="n">
        <v>0.337147155150358</v>
      </c>
      <c r="M99" s="11" t="n">
        <v>0.420552935666536</v>
      </c>
      <c r="N99" s="11" t="n">
        <v>0.404053931616664</v>
      </c>
      <c r="O99" s="12" t="n">
        <v>0.213651727407585</v>
      </c>
      <c r="P99" s="12" t="n">
        <v>0.545793274011047</v>
      </c>
      <c r="Q99" s="4" t="n">
        <f aca="false">RANK(N99,$N$7:$N$307,0)</f>
        <v>93</v>
      </c>
      <c r="R99" s="4" t="n">
        <f aca="false">RANK(O99,$O$7:$O$307,1)</f>
        <v>117</v>
      </c>
      <c r="S99" s="4" t="n">
        <f aca="false">RANK(J99,$J$7:$J$307,0)</f>
        <v>89</v>
      </c>
      <c r="T99" s="4" t="str">
        <f aca="false">IF(O99&lt;0.05,"YES","no")</f>
        <v>no</v>
      </c>
      <c r="U99" s="4" t="str">
        <f aca="false">IF(P99&lt;0.05,"YES","no")</f>
        <v>no</v>
      </c>
      <c r="V99" s="4" t="str">
        <f aca="false">IF(N99&gt;1,"YES","no")</f>
        <v>no</v>
      </c>
    </row>
    <row r="100" customFormat="false" ht="15" hidden="false" customHeight="false" outlineLevel="0" collapsed="false">
      <c r="A100" s="4" t="s">
        <v>77</v>
      </c>
      <c r="B100" s="4"/>
      <c r="C100" s="4" t="s">
        <v>72</v>
      </c>
      <c r="D100" s="8" t="n">
        <v>96.96949</v>
      </c>
      <c r="E100" s="9" t="n">
        <v>10.445</v>
      </c>
      <c r="F100" s="10" t="n">
        <v>309359410.508526</v>
      </c>
      <c r="G100" s="10" t="n">
        <v>101678414.666885</v>
      </c>
      <c r="H100" s="10" t="n">
        <v>322024552.513892</v>
      </c>
      <c r="I100" s="10" t="n">
        <v>56484973.7565772</v>
      </c>
      <c r="J100" s="10" t="n">
        <v>315116293.238238</v>
      </c>
      <c r="K100" s="11" t="n">
        <v>1.04093989571724</v>
      </c>
      <c r="L100" s="11" t="n">
        <v>0.0578867692578689</v>
      </c>
      <c r="M100" s="11" t="n">
        <v>0.0821066187877689</v>
      </c>
      <c r="N100" s="11" t="n">
        <v>0.400105585461871</v>
      </c>
      <c r="O100" s="12" t="n">
        <v>0.80094013648314</v>
      </c>
      <c r="P100" s="12" t="n">
        <v>0.896437736375293</v>
      </c>
      <c r="Q100" s="4" t="n">
        <f aca="false">RANK(N100,$N$7:$N$307,0)</f>
        <v>94</v>
      </c>
      <c r="R100" s="4" t="n">
        <f aca="false">RANK(O100,$O$7:$O$307,1)</f>
        <v>267</v>
      </c>
      <c r="S100" s="4" t="n">
        <f aca="false">RANK(J100,$J$7:$J$307,0)</f>
        <v>13</v>
      </c>
      <c r="T100" s="4" t="str">
        <f aca="false">IF(O100&lt;0.05,"YES","no")</f>
        <v>no</v>
      </c>
      <c r="U100" s="4" t="str">
        <f aca="false">IF(P100&lt;0.05,"YES","no")</f>
        <v>no</v>
      </c>
      <c r="V100" s="4" t="str">
        <f aca="false">IF(N100&gt;1,"YES","no")</f>
        <v>no</v>
      </c>
    </row>
    <row r="101" customFormat="false" ht="15" hidden="false" customHeight="false" outlineLevel="0" collapsed="false">
      <c r="A101" s="4" t="s">
        <v>231</v>
      </c>
      <c r="B101" s="4"/>
      <c r="C101" s="4" t="s">
        <v>72</v>
      </c>
      <c r="D101" s="8" t="n">
        <v>324.09337</v>
      </c>
      <c r="E101" s="9" t="n">
        <v>9.448</v>
      </c>
      <c r="F101" s="10" t="n">
        <v>1907918.94210757</v>
      </c>
      <c r="G101" s="10" t="n">
        <v>405605.122150452</v>
      </c>
      <c r="H101" s="10" t="n">
        <v>3610771.61892181</v>
      </c>
      <c r="I101" s="10" t="n">
        <v>620623.914813279</v>
      </c>
      <c r="J101" s="10" t="n">
        <v>2681942.88611404</v>
      </c>
      <c r="K101" s="11" t="n">
        <v>1.89251835559282</v>
      </c>
      <c r="L101" s="11" t="n">
        <v>0.920307293021741</v>
      </c>
      <c r="M101" s="11" t="n">
        <v>0.877451308552771</v>
      </c>
      <c r="N101" s="11" t="n">
        <v>0.398105450814336</v>
      </c>
      <c r="O101" s="12" t="n">
        <v>0.00134956420737124</v>
      </c>
      <c r="P101" s="12" t="n">
        <v>0.147180205171976</v>
      </c>
      <c r="Q101" s="4" t="n">
        <f aca="false">RANK(N101,$N$7:$N$307,0)</f>
        <v>95</v>
      </c>
      <c r="R101" s="4" t="n">
        <f aca="false">RANK(O101,$O$7:$O$307,1)</f>
        <v>2</v>
      </c>
      <c r="S101" s="4" t="n">
        <f aca="false">RANK(J101,$J$7:$J$307,0)</f>
        <v>160</v>
      </c>
      <c r="T101" s="4" t="str">
        <f aca="false">IF(O101&lt;0.05,"YES","no")</f>
        <v>YES</v>
      </c>
      <c r="U101" s="4" t="str">
        <f aca="false">IF(P101&lt;0.05,"YES","no")</f>
        <v>no</v>
      </c>
      <c r="V101" s="4" t="str">
        <f aca="false">IF(N101&gt;1,"YES","no")</f>
        <v>no</v>
      </c>
    </row>
    <row r="102" customFormat="false" ht="15" hidden="false" customHeight="false" outlineLevel="0" collapsed="false">
      <c r="A102" s="4" t="s">
        <v>374</v>
      </c>
      <c r="B102" s="4"/>
      <c r="C102" s="4" t="s">
        <v>72</v>
      </c>
      <c r="D102" s="8" t="n">
        <v>189.1234</v>
      </c>
      <c r="E102" s="9" t="n">
        <v>7.441</v>
      </c>
      <c r="F102" s="10" t="n">
        <v>3074487.95353431</v>
      </c>
      <c r="G102" s="10" t="n">
        <v>1624317.90197192</v>
      </c>
      <c r="H102" s="10" t="n">
        <v>5550361.30397675</v>
      </c>
      <c r="I102" s="10" t="n">
        <v>3033024.98302138</v>
      </c>
      <c r="J102" s="10" t="n">
        <v>4199884.93100815</v>
      </c>
      <c r="K102" s="11" t="n">
        <v>1.8052961624378</v>
      </c>
      <c r="L102" s="11" t="n">
        <v>0.852235533528502</v>
      </c>
      <c r="M102" s="11" t="n">
        <v>0.500618448347145</v>
      </c>
      <c r="N102" s="11" t="n">
        <v>0.396878664991053</v>
      </c>
      <c r="O102" s="12" t="n">
        <v>0.153225519266918</v>
      </c>
      <c r="P102" s="12" t="n">
        <v>0.536289317434213</v>
      </c>
      <c r="Q102" s="4" t="n">
        <f aca="false">RANK(N102,$N$7:$N$307,0)</f>
        <v>96</v>
      </c>
      <c r="R102" s="4" t="n">
        <f aca="false">RANK(O102,$O$7:$O$307,1)</f>
        <v>86</v>
      </c>
      <c r="S102" s="4" t="n">
        <f aca="false">RANK(J102,$J$7:$J$307,0)</f>
        <v>137</v>
      </c>
      <c r="T102" s="4" t="str">
        <f aca="false">IF(O102&lt;0.05,"YES","no")</f>
        <v>no</v>
      </c>
      <c r="U102" s="4" t="str">
        <f aca="false">IF(P102&lt;0.05,"YES","no")</f>
        <v>no</v>
      </c>
      <c r="V102" s="4" t="str">
        <f aca="false">IF(N102&gt;1,"YES","no")</f>
        <v>no</v>
      </c>
    </row>
    <row r="103" customFormat="false" ht="15" hidden="false" customHeight="false" outlineLevel="0" collapsed="false">
      <c r="A103" s="4" t="s">
        <v>114</v>
      </c>
      <c r="B103" s="4"/>
      <c r="C103" s="4" t="s">
        <v>72</v>
      </c>
      <c r="D103" s="8" t="n">
        <v>95.06033</v>
      </c>
      <c r="E103" s="9" t="n">
        <v>11.093</v>
      </c>
      <c r="F103" s="10" t="n">
        <v>9636728.59876442</v>
      </c>
      <c r="G103" s="10" t="n">
        <v>4696685.67745028</v>
      </c>
      <c r="H103" s="10" t="n">
        <v>6385137.43527629</v>
      </c>
      <c r="I103" s="10" t="n">
        <v>2219801.63335186</v>
      </c>
      <c r="J103" s="10" t="n">
        <v>8158732.61536073</v>
      </c>
      <c r="K103" s="11" t="n">
        <v>0.662583507446185</v>
      </c>
      <c r="L103" s="11" t="n">
        <v>-0.593825801552537</v>
      </c>
      <c r="M103" s="11" t="n">
        <v>0.426070153628551</v>
      </c>
      <c r="N103" s="11" t="n">
        <v>0.396218272971347</v>
      </c>
      <c r="O103" s="12" t="n">
        <v>0.173639006150444</v>
      </c>
      <c r="P103" s="12" t="n">
        <v>0.545793274011047</v>
      </c>
      <c r="Q103" s="4" t="n">
        <f aca="false">RANK(N103,$N$7:$N$307,0)</f>
        <v>97</v>
      </c>
      <c r="R103" s="4" t="n">
        <f aca="false">RANK(O103,$O$7:$O$307,1)</f>
        <v>92</v>
      </c>
      <c r="S103" s="4" t="n">
        <f aca="false">RANK(J103,$J$7:$J$307,0)</f>
        <v>108</v>
      </c>
      <c r="T103" s="4" t="str">
        <f aca="false">IF(O103&lt;0.05,"YES","no")</f>
        <v>no</v>
      </c>
      <c r="U103" s="4" t="str">
        <f aca="false">IF(P103&lt;0.05,"YES","no")</f>
        <v>no</v>
      </c>
      <c r="V103" s="4" t="str">
        <f aca="false">IF(N103&gt;1,"YES","no")</f>
        <v>no</v>
      </c>
    </row>
    <row r="104" customFormat="false" ht="15" hidden="false" customHeight="false" outlineLevel="0" collapsed="false">
      <c r="A104" s="4" t="s">
        <v>315</v>
      </c>
      <c r="B104" s="4"/>
      <c r="C104" s="4" t="s">
        <v>72</v>
      </c>
      <c r="D104" s="8" t="n">
        <v>686.14313</v>
      </c>
      <c r="E104" s="9" t="n">
        <v>7.038</v>
      </c>
      <c r="F104" s="10" t="n">
        <v>2786183.91687451</v>
      </c>
      <c r="G104" s="10" t="n">
        <v>1358623.60977265</v>
      </c>
      <c r="H104" s="10" t="n">
        <v>5329254.50032131</v>
      </c>
      <c r="I104" s="10" t="n">
        <v>2987230.73724966</v>
      </c>
      <c r="J104" s="10" t="n">
        <v>3942125.09116851</v>
      </c>
      <c r="K104" s="11" t="n">
        <v>1.91274325720018</v>
      </c>
      <c r="L104" s="11" t="n">
        <v>0.935643237289874</v>
      </c>
      <c r="M104" s="11" t="n">
        <v>0.530969708742169</v>
      </c>
      <c r="N104" s="11" t="n">
        <v>0.395615356820171</v>
      </c>
      <c r="O104" s="12" t="n">
        <v>0.135014921943672</v>
      </c>
      <c r="P104" s="12" t="n">
        <v>0.513878605264234</v>
      </c>
      <c r="Q104" s="4" t="n">
        <f aca="false">RANK(N104,$N$7:$N$307,0)</f>
        <v>98</v>
      </c>
      <c r="R104" s="4" t="n">
        <f aca="false">RANK(O104,$O$7:$O$307,1)</f>
        <v>76</v>
      </c>
      <c r="S104" s="4" t="n">
        <f aca="false">RANK(J104,$J$7:$J$307,0)</f>
        <v>140</v>
      </c>
      <c r="T104" s="4" t="str">
        <f aca="false">IF(O104&lt;0.05,"YES","no")</f>
        <v>no</v>
      </c>
      <c r="U104" s="4" t="str">
        <f aca="false">IF(P104&lt;0.05,"YES","no")</f>
        <v>no</v>
      </c>
      <c r="V104" s="4" t="str">
        <f aca="false">IF(N104&gt;1,"YES","no")</f>
        <v>no</v>
      </c>
    </row>
    <row r="105" customFormat="false" ht="15" hidden="false" customHeight="false" outlineLevel="0" collapsed="false">
      <c r="A105" s="4" t="s">
        <v>265</v>
      </c>
      <c r="B105" s="4"/>
      <c r="C105" s="4" t="s">
        <v>61</v>
      </c>
      <c r="D105" s="8" t="n">
        <v>276.14413</v>
      </c>
      <c r="E105" s="9" t="n">
        <v>9.52</v>
      </c>
      <c r="F105" s="10" t="n">
        <v>5249441.34649449</v>
      </c>
      <c r="G105" s="10" t="n">
        <v>3341265.17373233</v>
      </c>
      <c r="H105" s="10" t="n">
        <v>8111863.95649464</v>
      </c>
      <c r="I105" s="10" t="n">
        <v>3436906.70496427</v>
      </c>
      <c r="J105" s="10" t="n">
        <v>6550542.53285819</v>
      </c>
      <c r="K105" s="11" t="n">
        <v>1.54528137778159</v>
      </c>
      <c r="L105" s="11" t="n">
        <v>0.627869560051448</v>
      </c>
      <c r="M105" s="11" t="n">
        <v>0.422107075297379</v>
      </c>
      <c r="N105" s="11" t="n">
        <v>0.393300703158716</v>
      </c>
      <c r="O105" s="12" t="n">
        <v>0.198833663067681</v>
      </c>
      <c r="P105" s="12" t="n">
        <v>0.545793274011047</v>
      </c>
      <c r="Q105" s="4" t="n">
        <f aca="false">RANK(N105,$N$7:$N$307,0)</f>
        <v>99</v>
      </c>
      <c r="R105" s="4" t="n">
        <f aca="false">RANK(O105,$O$7:$O$307,1)</f>
        <v>104</v>
      </c>
      <c r="S105" s="4" t="n">
        <f aca="false">RANK(J105,$J$7:$J$307,0)</f>
        <v>119</v>
      </c>
      <c r="T105" s="4" t="str">
        <f aca="false">IF(O105&lt;0.05,"YES","no")</f>
        <v>no</v>
      </c>
      <c r="U105" s="4" t="str">
        <f aca="false">IF(P105&lt;0.05,"YES","no")</f>
        <v>no</v>
      </c>
      <c r="V105" s="4" t="str">
        <f aca="false">IF(N105&gt;1,"YES","no")</f>
        <v>no</v>
      </c>
    </row>
    <row r="106" customFormat="false" ht="15" hidden="false" customHeight="false" outlineLevel="0" collapsed="false">
      <c r="A106" s="4" t="s">
        <v>124</v>
      </c>
      <c r="B106" s="4"/>
      <c r="C106" s="4" t="s">
        <v>72</v>
      </c>
      <c r="D106" s="8" t="n">
        <v>188.07061</v>
      </c>
      <c r="E106" s="9" t="n">
        <v>9.625</v>
      </c>
      <c r="F106" s="10" t="n">
        <v>17352811.8035421</v>
      </c>
      <c r="G106" s="10" t="n">
        <v>6116033.81951311</v>
      </c>
      <c r="H106" s="10" t="n">
        <v>21145092.8502692</v>
      </c>
      <c r="I106" s="10" t="n">
        <v>4117085.7459416</v>
      </c>
      <c r="J106" s="10" t="n">
        <v>19076575.9156908</v>
      </c>
      <c r="K106" s="11" t="n">
        <v>1.21853985911108</v>
      </c>
      <c r="L106" s="11" t="n">
        <v>0.285153443183843</v>
      </c>
      <c r="M106" s="11" t="n">
        <v>0.365217899839729</v>
      </c>
      <c r="N106" s="11" t="n">
        <v>0.392622820106748</v>
      </c>
      <c r="O106" s="12" t="n">
        <v>0.253636306638684</v>
      </c>
      <c r="P106" s="12" t="n">
        <v>0.585306597098332</v>
      </c>
      <c r="Q106" s="4" t="n">
        <f aca="false">RANK(N106,$N$7:$N$307,0)</f>
        <v>100</v>
      </c>
      <c r="R106" s="4" t="n">
        <f aca="false">RANK(O106,$O$7:$O$307,1)</f>
        <v>129</v>
      </c>
      <c r="S106" s="4" t="n">
        <f aca="false">RANK(J106,$J$7:$J$307,0)</f>
        <v>77</v>
      </c>
      <c r="T106" s="4" t="str">
        <f aca="false">IF(O106&lt;0.05,"YES","no")</f>
        <v>no</v>
      </c>
      <c r="U106" s="4" t="str">
        <f aca="false">IF(P106&lt;0.05,"YES","no")</f>
        <v>no</v>
      </c>
      <c r="V106" s="4" t="str">
        <f aca="false">IF(N106&gt;1,"YES","no")</f>
        <v>no</v>
      </c>
    </row>
    <row r="107" customFormat="false" ht="15" hidden="false" customHeight="false" outlineLevel="0" collapsed="false">
      <c r="A107" s="4" t="s">
        <v>388</v>
      </c>
      <c r="B107" s="4"/>
      <c r="C107" s="4" t="s">
        <v>72</v>
      </c>
      <c r="D107" s="8" t="n">
        <v>203.13893</v>
      </c>
      <c r="E107" s="9" t="n">
        <v>6.828</v>
      </c>
      <c r="F107" s="10" t="n">
        <v>2359053.36890351</v>
      </c>
      <c r="G107" s="10" t="n">
        <v>1405880.95713909</v>
      </c>
      <c r="H107" s="10" t="n">
        <v>4629322.72607349</v>
      </c>
      <c r="I107" s="10" t="n">
        <v>2343628.05004954</v>
      </c>
      <c r="J107" s="10" t="n">
        <v>3390993.98579895</v>
      </c>
      <c r="K107" s="11" t="n">
        <v>1.96236455991041</v>
      </c>
      <c r="L107" s="11" t="n">
        <v>0.972593084328577</v>
      </c>
      <c r="M107" s="11" t="n">
        <v>0.553337413510786</v>
      </c>
      <c r="N107" s="11" t="n">
        <v>0.384492782468483</v>
      </c>
      <c r="O107" s="12" t="n">
        <v>0.103833713173226</v>
      </c>
      <c r="P107" s="12" t="n">
        <v>0.496094407383191</v>
      </c>
      <c r="Q107" s="4" t="n">
        <f aca="false">RANK(N107,$N$7:$N$307,0)</f>
        <v>101</v>
      </c>
      <c r="R107" s="4" t="n">
        <f aca="false">RANK(O107,$O$7:$O$307,1)</f>
        <v>63</v>
      </c>
      <c r="S107" s="4" t="n">
        <f aca="false">RANK(J107,$J$7:$J$307,0)</f>
        <v>147</v>
      </c>
      <c r="T107" s="4" t="str">
        <f aca="false">IF(O107&lt;0.05,"YES","no")</f>
        <v>no</v>
      </c>
      <c r="U107" s="4" t="str">
        <f aca="false">IF(P107&lt;0.05,"YES","no")</f>
        <v>no</v>
      </c>
      <c r="V107" s="4" t="str">
        <f aca="false">IF(N107&gt;1,"YES","no")</f>
        <v>no</v>
      </c>
    </row>
    <row r="108" customFormat="false" ht="15" hidden="false" customHeight="false" outlineLevel="0" collapsed="false">
      <c r="A108" s="4" t="s">
        <v>338</v>
      </c>
      <c r="B108" s="4" t="s">
        <v>339</v>
      </c>
      <c r="C108" s="4" t="s">
        <v>72</v>
      </c>
      <c r="D108" s="8" t="n">
        <v>342.56692</v>
      </c>
      <c r="E108" s="9" t="n">
        <v>5.026</v>
      </c>
      <c r="F108" s="10" t="n">
        <v>2515823.47695196</v>
      </c>
      <c r="G108" s="10" t="n">
        <v>1116983.06558007</v>
      </c>
      <c r="H108" s="10" t="n">
        <v>4986900.26437152</v>
      </c>
      <c r="I108" s="10" t="n">
        <v>3401938.2333902</v>
      </c>
      <c r="J108" s="10" t="n">
        <v>3639040.19850631</v>
      </c>
      <c r="K108" s="11" t="n">
        <v>1.9822138993684</v>
      </c>
      <c r="L108" s="11" t="n">
        <v>0.98711265117601</v>
      </c>
      <c r="M108" s="11" t="n">
        <v>0.49062162809943</v>
      </c>
      <c r="N108" s="11" t="n">
        <v>0.381859294814237</v>
      </c>
      <c r="O108" s="12" t="n">
        <v>0.183883914538159</v>
      </c>
      <c r="P108" s="12" t="n">
        <v>0.545793274011047</v>
      </c>
      <c r="Q108" s="4" t="n">
        <f aca="false">RANK(N108,$N$7:$N$307,0)</f>
        <v>102</v>
      </c>
      <c r="R108" s="4" t="n">
        <f aca="false">RANK(O108,$O$7:$O$307,1)</f>
        <v>99</v>
      </c>
      <c r="S108" s="4" t="n">
        <f aca="false">RANK(J108,$J$7:$J$307,0)</f>
        <v>145</v>
      </c>
      <c r="T108" s="4" t="str">
        <f aca="false">IF(O108&lt;0.05,"YES","no")</f>
        <v>no</v>
      </c>
      <c r="U108" s="4" t="str">
        <f aca="false">IF(P108&lt;0.05,"YES","no")</f>
        <v>no</v>
      </c>
      <c r="V108" s="4" t="str">
        <f aca="false">IF(N108&gt;1,"YES","no")</f>
        <v>no</v>
      </c>
    </row>
    <row r="109" customFormat="false" ht="15" hidden="false" customHeight="false" outlineLevel="0" collapsed="false">
      <c r="A109" s="4" t="s">
        <v>90</v>
      </c>
      <c r="B109" s="4"/>
      <c r="C109" s="4" t="s">
        <v>61</v>
      </c>
      <c r="D109" s="8" t="n">
        <v>241.12961</v>
      </c>
      <c r="E109" s="9" t="n">
        <v>11.667</v>
      </c>
      <c r="F109" s="10" t="n">
        <v>18773301.6017112</v>
      </c>
      <c r="G109" s="10" t="n">
        <v>19424759.5748509</v>
      </c>
      <c r="H109" s="10" t="n">
        <v>12536281.4338494</v>
      </c>
      <c r="I109" s="10" t="n">
        <v>13382672.9268289</v>
      </c>
      <c r="J109" s="10" t="n">
        <v>15938292.4345013</v>
      </c>
      <c r="K109" s="11" t="n">
        <v>0.667771801668957</v>
      </c>
      <c r="L109" s="11" t="n">
        <v>-0.582572921599071</v>
      </c>
      <c r="M109" s="11" t="n">
        <v>0.197892958099011</v>
      </c>
      <c r="N109" s="11" t="n">
        <v>0.377087831540227</v>
      </c>
      <c r="O109" s="12" t="n">
        <v>0.546157527180519</v>
      </c>
      <c r="P109" s="12" t="n">
        <v>0.737190204849042</v>
      </c>
      <c r="Q109" s="4" t="n">
        <f aca="false">RANK(N109,$N$7:$N$307,0)</f>
        <v>103</v>
      </c>
      <c r="R109" s="4" t="n">
        <f aca="false">RANK(O109,$O$7:$O$307,1)</f>
        <v>223</v>
      </c>
      <c r="S109" s="4" t="n">
        <f aca="false">RANK(J109,$J$7:$J$307,0)</f>
        <v>84</v>
      </c>
      <c r="T109" s="4" t="str">
        <f aca="false">IF(O109&lt;0.05,"YES","no")</f>
        <v>no</v>
      </c>
      <c r="U109" s="4" t="str">
        <f aca="false">IF(P109&lt;0.05,"YES","no")</f>
        <v>no</v>
      </c>
      <c r="V109" s="4" t="str">
        <f aca="false">IF(N109&gt;1,"YES","no")</f>
        <v>no</v>
      </c>
    </row>
    <row r="110" customFormat="false" ht="15" hidden="false" customHeight="false" outlineLevel="0" collapsed="false">
      <c r="A110" s="4" t="s">
        <v>132</v>
      </c>
      <c r="B110" s="4"/>
      <c r="C110" s="4" t="s">
        <v>72</v>
      </c>
      <c r="D110" s="8" t="n">
        <v>119.08541</v>
      </c>
      <c r="E110" s="9" t="n">
        <v>4.064</v>
      </c>
      <c r="F110" s="10" t="n">
        <v>61100732.7478522</v>
      </c>
      <c r="G110" s="10" t="n">
        <v>11036456.7183305</v>
      </c>
      <c r="H110" s="10" t="n">
        <v>67610510.2058787</v>
      </c>
      <c r="I110" s="10" t="n">
        <v>23366764.7396436</v>
      </c>
      <c r="J110" s="10" t="n">
        <v>64059722.5015006</v>
      </c>
      <c r="K110" s="11" t="n">
        <v>1.10654172487408</v>
      </c>
      <c r="L110" s="11" t="n">
        <v>0.146057852525262</v>
      </c>
      <c r="M110" s="11" t="n">
        <v>0.199336759055584</v>
      </c>
      <c r="N110" s="11" t="n">
        <v>0.371755246348879</v>
      </c>
      <c r="O110" s="12" t="n">
        <v>0.589988853610103</v>
      </c>
      <c r="P110" s="12" t="n">
        <v>0.775487532474415</v>
      </c>
      <c r="Q110" s="4" t="n">
        <f aca="false">RANK(N110,$N$7:$N$307,0)</f>
        <v>104</v>
      </c>
      <c r="R110" s="4" t="n">
        <f aca="false">RANK(O110,$O$7:$O$307,1)</f>
        <v>229</v>
      </c>
      <c r="S110" s="4" t="n">
        <f aca="false">RANK(J110,$J$7:$J$307,0)</f>
        <v>37</v>
      </c>
      <c r="T110" s="4" t="str">
        <f aca="false">IF(O110&lt;0.05,"YES","no")</f>
        <v>no</v>
      </c>
      <c r="U110" s="4" t="str">
        <f aca="false">IF(P110&lt;0.05,"YES","no")</f>
        <v>no</v>
      </c>
      <c r="V110" s="4" t="str">
        <f aca="false">IF(N110&gt;1,"YES","no")</f>
        <v>no</v>
      </c>
    </row>
    <row r="111" customFormat="false" ht="15" hidden="false" customHeight="false" outlineLevel="0" collapsed="false">
      <c r="A111" s="4" t="s">
        <v>218</v>
      </c>
      <c r="B111" s="4"/>
      <c r="C111" s="4" t="s">
        <v>72</v>
      </c>
      <c r="D111" s="8" t="n">
        <v>120.06549</v>
      </c>
      <c r="E111" s="9" t="n">
        <v>11.686</v>
      </c>
      <c r="F111" s="10" t="n">
        <v>4292605.08826331</v>
      </c>
      <c r="G111" s="10" t="n">
        <v>1425677.66531321</v>
      </c>
      <c r="H111" s="10" t="n">
        <v>6381204.37989314</v>
      </c>
      <c r="I111" s="10" t="n">
        <v>2444828.88767931</v>
      </c>
      <c r="J111" s="10" t="n">
        <v>5241968.40264051</v>
      </c>
      <c r="K111" s="11" t="n">
        <v>1.48655752129177</v>
      </c>
      <c r="L111" s="11" t="n">
        <v>0.571975288389739</v>
      </c>
      <c r="M111" s="11" t="n">
        <v>0.508731808939824</v>
      </c>
      <c r="N111" s="11" t="n">
        <v>0.358989879552639</v>
      </c>
      <c r="O111" s="12" t="n">
        <v>0.141201993803345</v>
      </c>
      <c r="P111" s="12" t="n">
        <v>0.513878605264234</v>
      </c>
      <c r="Q111" s="4" t="n">
        <f aca="false">RANK(N111,$N$7:$N$307,0)</f>
        <v>105</v>
      </c>
      <c r="R111" s="4" t="n">
        <f aca="false">RANK(O111,$O$7:$O$307,1)</f>
        <v>82</v>
      </c>
      <c r="S111" s="4" t="n">
        <f aca="false">RANK(J111,$J$7:$J$307,0)</f>
        <v>127</v>
      </c>
      <c r="T111" s="4" t="str">
        <f aca="false">IF(O111&lt;0.05,"YES","no")</f>
        <v>no</v>
      </c>
      <c r="U111" s="4" t="str">
        <f aca="false">IF(P111&lt;0.05,"YES","no")</f>
        <v>no</v>
      </c>
      <c r="V111" s="4" t="str">
        <f aca="false">IF(N111&gt;1,"YES","no")</f>
        <v>no</v>
      </c>
    </row>
    <row r="112" customFormat="false" ht="15" hidden="false" customHeight="false" outlineLevel="0" collapsed="false">
      <c r="A112" s="4" t="s">
        <v>236</v>
      </c>
      <c r="B112" s="4"/>
      <c r="C112" s="4" t="s">
        <v>72</v>
      </c>
      <c r="D112" s="8" t="n">
        <v>664.11878</v>
      </c>
      <c r="E112" s="9" t="n">
        <v>8.315</v>
      </c>
      <c r="F112" s="10" t="n">
        <v>3643753.23803385</v>
      </c>
      <c r="G112" s="10" t="n">
        <v>1969903.69105495</v>
      </c>
      <c r="H112" s="10" t="n">
        <v>1628863.61817765</v>
      </c>
      <c r="I112" s="10" t="n">
        <v>690045.793447572</v>
      </c>
      <c r="J112" s="10" t="n">
        <v>2727894.3199174</v>
      </c>
      <c r="K112" s="11" t="n">
        <v>0.447029069140966</v>
      </c>
      <c r="L112" s="11" t="n">
        <v>-1.16155944571159</v>
      </c>
      <c r="M112" s="11" t="n">
        <v>0.584764847719411</v>
      </c>
      <c r="N112" s="11" t="n">
        <v>0.35722987148947</v>
      </c>
      <c r="O112" s="12" t="n">
        <v>0.0552313729965472</v>
      </c>
      <c r="P112" s="12" t="n">
        <v>0.473393770420731</v>
      </c>
      <c r="Q112" s="4" t="n">
        <f aca="false">RANK(N112,$N$7:$N$307,0)</f>
        <v>106</v>
      </c>
      <c r="R112" s="4" t="n">
        <f aca="false">RANK(O112,$O$7:$O$307,1)</f>
        <v>34</v>
      </c>
      <c r="S112" s="4" t="n">
        <f aca="false">RANK(J112,$J$7:$J$307,0)</f>
        <v>157</v>
      </c>
      <c r="T112" s="4" t="str">
        <f aca="false">IF(O112&lt;0.05,"YES","no")</f>
        <v>no</v>
      </c>
      <c r="U112" s="4" t="str">
        <f aca="false">IF(P112&lt;0.05,"YES","no")</f>
        <v>no</v>
      </c>
      <c r="V112" s="4" t="str">
        <f aca="false">IF(N112&gt;1,"YES","no")</f>
        <v>no</v>
      </c>
    </row>
    <row r="113" customFormat="false" ht="15" hidden="false" customHeight="false" outlineLevel="0" collapsed="false">
      <c r="A113" s="4" t="s">
        <v>189</v>
      </c>
      <c r="B113" s="4"/>
      <c r="C113" s="4" t="s">
        <v>61</v>
      </c>
      <c r="D113" s="8" t="n">
        <v>324.05926</v>
      </c>
      <c r="E113" s="9" t="n">
        <v>9.915</v>
      </c>
      <c r="F113" s="10" t="n">
        <v>2800258.94519114</v>
      </c>
      <c r="G113" s="10" t="n">
        <v>718584.314060834</v>
      </c>
      <c r="H113" s="10" t="n">
        <v>4501828.88646314</v>
      </c>
      <c r="I113" s="10" t="n">
        <v>1248741.32917086</v>
      </c>
      <c r="J113" s="10" t="n">
        <v>3573699.82758751</v>
      </c>
      <c r="K113" s="11" t="n">
        <v>1.6076473549684</v>
      </c>
      <c r="L113" s="11" t="n">
        <v>0.684950979257155</v>
      </c>
      <c r="M113" s="11" t="n">
        <v>0.687310303822785</v>
      </c>
      <c r="N113" s="11" t="n">
        <v>0.355862133685617</v>
      </c>
      <c r="O113" s="12" t="n">
        <v>0.0349068864027866</v>
      </c>
      <c r="P113" s="12" t="n">
        <v>0.389147141008843</v>
      </c>
      <c r="Q113" s="4" t="n">
        <f aca="false">RANK(N113,$N$7:$N$307,0)</f>
        <v>107</v>
      </c>
      <c r="R113" s="4" t="n">
        <f aca="false">RANK(O113,$O$7:$O$307,1)</f>
        <v>27</v>
      </c>
      <c r="S113" s="4" t="n">
        <f aca="false">RANK(J113,$J$7:$J$307,0)</f>
        <v>146</v>
      </c>
      <c r="T113" s="4" t="str">
        <f aca="false">IF(O113&lt;0.05,"YES","no")</f>
        <v>YES</v>
      </c>
      <c r="U113" s="4" t="str">
        <f aca="false">IF(P113&lt;0.05,"YES","no")</f>
        <v>no</v>
      </c>
      <c r="V113" s="4" t="str">
        <f aca="false">IF(N113&gt;1,"YES","no")</f>
        <v>no</v>
      </c>
    </row>
    <row r="114" customFormat="false" ht="15" hidden="false" customHeight="false" outlineLevel="0" collapsed="false">
      <c r="A114" s="4" t="s">
        <v>172</v>
      </c>
      <c r="B114" s="4"/>
      <c r="C114" s="4" t="s">
        <v>61</v>
      </c>
      <c r="D114" s="8" t="n">
        <v>146.09241</v>
      </c>
      <c r="E114" s="9" t="n">
        <v>11.851</v>
      </c>
      <c r="F114" s="10" t="n">
        <v>14111986.2258956</v>
      </c>
      <c r="G114" s="10" t="n">
        <v>6158910.86257526</v>
      </c>
      <c r="H114" s="10" t="n">
        <v>10787209.3347837</v>
      </c>
      <c r="I114" s="10" t="n">
        <v>2412970.94433095</v>
      </c>
      <c r="J114" s="10" t="n">
        <v>12600724.0026629</v>
      </c>
      <c r="K114" s="11" t="n">
        <v>0.764400500546771</v>
      </c>
      <c r="L114" s="11" t="n">
        <v>-0.387599371862275</v>
      </c>
      <c r="M114" s="11" t="n">
        <v>0.352156607529602</v>
      </c>
      <c r="N114" s="11" t="n">
        <v>0.353871261090079</v>
      </c>
      <c r="O114" s="12" t="n">
        <v>0.265241440537362</v>
      </c>
      <c r="P114" s="12" t="n">
        <v>0.589747674995542</v>
      </c>
      <c r="Q114" s="4" t="n">
        <f aca="false">RANK(N114,$N$7:$N$307,0)</f>
        <v>108</v>
      </c>
      <c r="R114" s="4" t="n">
        <f aca="false">RANK(O114,$O$7:$O$307,1)</f>
        <v>134</v>
      </c>
      <c r="S114" s="4" t="n">
        <f aca="false">RANK(J114,$J$7:$J$307,0)</f>
        <v>95</v>
      </c>
      <c r="T114" s="4" t="str">
        <f aca="false">IF(O114&lt;0.05,"YES","no")</f>
        <v>no</v>
      </c>
      <c r="U114" s="4" t="str">
        <f aca="false">IF(P114&lt;0.05,"YES","no")</f>
        <v>no</v>
      </c>
      <c r="V114" s="4" t="str">
        <f aca="false">IF(N114&gt;1,"YES","no")</f>
        <v>no</v>
      </c>
    </row>
    <row r="115" customFormat="false" ht="15" hidden="false" customHeight="false" outlineLevel="0" collapsed="false">
      <c r="A115" s="4" t="s">
        <v>367</v>
      </c>
      <c r="B115" s="4"/>
      <c r="C115" s="4" t="s">
        <v>72</v>
      </c>
      <c r="D115" s="8" t="n">
        <v>227.11376</v>
      </c>
      <c r="E115" s="9" t="n">
        <v>9.443</v>
      </c>
      <c r="F115" s="10" t="n">
        <v>3734969.15432814</v>
      </c>
      <c r="G115" s="10" t="n">
        <v>1818502.70721275</v>
      </c>
      <c r="H115" s="10" t="n">
        <v>5827559.91816908</v>
      </c>
      <c r="I115" s="10" t="n">
        <v>1882803.05154121</v>
      </c>
      <c r="J115" s="10" t="n">
        <v>4686146.77425584</v>
      </c>
      <c r="K115" s="11" t="n">
        <v>1.56026989176497</v>
      </c>
      <c r="L115" s="11" t="n">
        <v>0.641795604621296</v>
      </c>
      <c r="M115" s="11" t="n">
        <v>0.529118456931806</v>
      </c>
      <c r="N115" s="11" t="n">
        <v>0.352888039178347</v>
      </c>
      <c r="O115" s="12" t="n">
        <v>0.0970491190898224</v>
      </c>
      <c r="P115" s="12" t="n">
        <v>0.486863080767276</v>
      </c>
      <c r="Q115" s="4" t="n">
        <f aca="false">RANK(N115,$N$7:$N$307,0)</f>
        <v>109</v>
      </c>
      <c r="R115" s="4" t="n">
        <f aca="false">RANK(O115,$O$7:$O$307,1)</f>
        <v>60</v>
      </c>
      <c r="S115" s="4" t="n">
        <f aca="false">RANK(J115,$J$7:$J$307,0)</f>
        <v>130</v>
      </c>
      <c r="T115" s="4" t="str">
        <f aca="false">IF(O115&lt;0.05,"YES","no")</f>
        <v>no</v>
      </c>
      <c r="U115" s="4" t="str">
        <f aca="false">IF(P115&lt;0.05,"YES","no")</f>
        <v>no</v>
      </c>
      <c r="V115" s="4" t="str">
        <f aca="false">IF(N115&gt;1,"YES","no")</f>
        <v>no</v>
      </c>
    </row>
    <row r="116" customFormat="false" ht="15" hidden="false" customHeight="false" outlineLevel="0" collapsed="false">
      <c r="A116" s="4" t="s">
        <v>299</v>
      </c>
      <c r="B116" s="4" t="s">
        <v>300</v>
      </c>
      <c r="C116" s="4" t="s">
        <v>72</v>
      </c>
      <c r="D116" s="8" t="n">
        <v>442.01716</v>
      </c>
      <c r="E116" s="9" t="n">
        <v>10.732</v>
      </c>
      <c r="F116" s="10" t="n">
        <v>2312354.97192079</v>
      </c>
      <c r="G116" s="10" t="n">
        <v>1189053.90939266</v>
      </c>
      <c r="H116" s="10" t="n">
        <v>765890.760073717</v>
      </c>
      <c r="I116" s="10" t="n">
        <v>226773.809085844</v>
      </c>
      <c r="J116" s="10" t="n">
        <v>1609416.69380849</v>
      </c>
      <c r="K116" s="11" t="n">
        <v>0.331216776565026</v>
      </c>
      <c r="L116" s="11" t="n">
        <v>-1.59415234579956</v>
      </c>
      <c r="M116" s="11" t="n">
        <v>0.687552848343122</v>
      </c>
      <c r="N116" s="11" t="n">
        <v>0.3397849626638</v>
      </c>
      <c r="O116" s="12" t="n">
        <v>0.0235276636759681</v>
      </c>
      <c r="P116" s="12" t="n">
        <v>0.35409133832332</v>
      </c>
      <c r="Q116" s="4" t="n">
        <f aca="false">RANK(N116,$N$7:$N$307,0)</f>
        <v>110</v>
      </c>
      <c r="R116" s="4" t="n">
        <f aca="false">RANK(O116,$O$7:$O$307,1)</f>
        <v>20</v>
      </c>
      <c r="S116" s="4" t="n">
        <f aca="false">RANK(J116,$J$7:$J$307,0)</f>
        <v>193</v>
      </c>
      <c r="T116" s="4" t="str">
        <f aca="false">IF(O116&lt;0.05,"YES","no")</f>
        <v>YES</v>
      </c>
      <c r="U116" s="4" t="str">
        <f aca="false">IF(P116&lt;0.05,"YES","no")</f>
        <v>no</v>
      </c>
      <c r="V116" s="4" t="str">
        <f aca="false">IF(N116&gt;1,"YES","no")</f>
        <v>no</v>
      </c>
    </row>
    <row r="117" customFormat="false" ht="15" hidden="false" customHeight="false" outlineLevel="0" collapsed="false">
      <c r="A117" s="4" t="s">
        <v>108</v>
      </c>
      <c r="B117" s="4"/>
      <c r="C117" s="4" t="s">
        <v>61</v>
      </c>
      <c r="D117" s="8" t="n">
        <v>227.11387</v>
      </c>
      <c r="E117" s="9" t="n">
        <v>11.951</v>
      </c>
      <c r="F117" s="10" t="n">
        <v>9558734.14166313</v>
      </c>
      <c r="G117" s="10" t="n">
        <v>10577465.6146766</v>
      </c>
      <c r="H117" s="10" t="n">
        <v>5512247.65759281</v>
      </c>
      <c r="I117" s="10" t="n">
        <v>6132138.35454004</v>
      </c>
      <c r="J117" s="10" t="n">
        <v>7719422.10344935</v>
      </c>
      <c r="K117" s="11" t="n">
        <v>0.576671301440101</v>
      </c>
      <c r="L117" s="11" t="n">
        <v>-0.794178867706938</v>
      </c>
      <c r="M117" s="11" t="n">
        <v>0.243286316289151</v>
      </c>
      <c r="N117" s="11" t="n">
        <v>0.32856540630054</v>
      </c>
      <c r="O117" s="12" t="n">
        <v>0.45124162794073</v>
      </c>
      <c r="P117" s="12" t="n">
        <v>0.682531306583717</v>
      </c>
      <c r="Q117" s="4" t="n">
        <f aca="false">RANK(N117,$N$7:$N$307,0)</f>
        <v>111</v>
      </c>
      <c r="R117" s="4" t="n">
        <f aca="false">RANK(O117,$O$7:$O$307,1)</f>
        <v>199</v>
      </c>
      <c r="S117" s="4" t="n">
        <f aca="false">RANK(J117,$J$7:$J$307,0)</f>
        <v>110</v>
      </c>
      <c r="T117" s="4" t="str">
        <f aca="false">IF(O117&lt;0.05,"YES","no")</f>
        <v>no</v>
      </c>
      <c r="U117" s="4" t="str">
        <f aca="false">IF(P117&lt;0.05,"YES","no")</f>
        <v>no</v>
      </c>
      <c r="V117" s="4" t="str">
        <f aca="false">IF(N117&gt;1,"YES","no")</f>
        <v>no</v>
      </c>
    </row>
    <row r="118" customFormat="false" ht="15" hidden="false" customHeight="false" outlineLevel="0" collapsed="false">
      <c r="A118" s="4" t="s">
        <v>280</v>
      </c>
      <c r="B118" s="4"/>
      <c r="C118" s="4" t="s">
        <v>72</v>
      </c>
      <c r="D118" s="8" t="n">
        <v>341.10865</v>
      </c>
      <c r="E118" s="9" t="n">
        <v>11.556</v>
      </c>
      <c r="F118" s="10" t="n">
        <v>717439.253674168</v>
      </c>
      <c r="G118" s="10" t="n">
        <v>651598.534121184</v>
      </c>
      <c r="H118" s="10" t="n">
        <v>2473307.05923981</v>
      </c>
      <c r="I118" s="10" t="n">
        <v>2556018.09130155</v>
      </c>
      <c r="J118" s="10" t="n">
        <v>1515560.98347673</v>
      </c>
      <c r="K118" s="11" t="n">
        <v>3.44740972364342</v>
      </c>
      <c r="L118" s="11" t="n">
        <v>1.7855127727814</v>
      </c>
      <c r="M118" s="11" t="n">
        <v>0.478889180970578</v>
      </c>
      <c r="N118" s="11" t="n">
        <v>0.326890924805484</v>
      </c>
      <c r="O118" s="12" t="n">
        <v>0.202111295794676</v>
      </c>
      <c r="P118" s="12" t="n">
        <v>0.545793274011047</v>
      </c>
      <c r="Q118" s="4" t="n">
        <f aca="false">RANK(N118,$N$7:$N$307,0)</f>
        <v>112</v>
      </c>
      <c r="R118" s="4" t="n">
        <f aca="false">RANK(O118,$O$7:$O$307,1)</f>
        <v>108</v>
      </c>
      <c r="S118" s="4" t="n">
        <f aca="false">RANK(J118,$J$7:$J$307,0)</f>
        <v>196</v>
      </c>
      <c r="T118" s="4" t="str">
        <f aca="false">IF(O118&lt;0.05,"YES","no")</f>
        <v>no</v>
      </c>
      <c r="U118" s="4" t="str">
        <f aca="false">IF(P118&lt;0.05,"YES","no")</f>
        <v>no</v>
      </c>
      <c r="V118" s="4" t="str">
        <f aca="false">IF(N118&gt;1,"YES","no")</f>
        <v>no</v>
      </c>
    </row>
    <row r="119" customFormat="false" ht="15" hidden="false" customHeight="false" outlineLevel="0" collapsed="false">
      <c r="A119" s="4" t="s">
        <v>166</v>
      </c>
      <c r="B119" s="4"/>
      <c r="C119" s="4" t="s">
        <v>72</v>
      </c>
      <c r="D119" s="8" t="n">
        <v>149.06073</v>
      </c>
      <c r="E119" s="9" t="n">
        <v>4.849</v>
      </c>
      <c r="F119" s="10" t="n">
        <v>13978600.6432066</v>
      </c>
      <c r="G119" s="10" t="n">
        <v>6089969.19343693</v>
      </c>
      <c r="H119" s="10" t="n">
        <v>17208079.7292565</v>
      </c>
      <c r="I119" s="10" t="n">
        <v>5388739.2193209</v>
      </c>
      <c r="J119" s="10" t="n">
        <v>15446545.6823202</v>
      </c>
      <c r="K119" s="11" t="n">
        <v>1.23103021314365</v>
      </c>
      <c r="L119" s="11" t="n">
        <v>0.299866170285091</v>
      </c>
      <c r="M119" s="11" t="n">
        <v>0.293572616163948</v>
      </c>
      <c r="N119" s="11" t="n">
        <v>0.326636278770284</v>
      </c>
      <c r="O119" s="12" t="n">
        <v>0.375472962948865</v>
      </c>
      <c r="P119" s="12" t="n">
        <v>0.631381909763175</v>
      </c>
      <c r="Q119" s="4" t="n">
        <f aca="false">RANK(N119,$N$7:$N$307,0)</f>
        <v>113</v>
      </c>
      <c r="R119" s="4" t="n">
        <f aca="false">RANK(O119,$O$7:$O$307,1)</f>
        <v>179</v>
      </c>
      <c r="S119" s="4" t="n">
        <f aca="false">RANK(J119,$J$7:$J$307,0)</f>
        <v>88</v>
      </c>
      <c r="T119" s="4" t="str">
        <f aca="false">IF(O119&lt;0.05,"YES","no")</f>
        <v>no</v>
      </c>
      <c r="U119" s="4" t="str">
        <f aca="false">IF(P119&lt;0.05,"YES","no")</f>
        <v>no</v>
      </c>
      <c r="V119" s="4" t="str">
        <f aca="false">IF(N119&gt;1,"YES","no")</f>
        <v>no</v>
      </c>
    </row>
    <row r="120" customFormat="false" ht="15" hidden="false" customHeight="false" outlineLevel="0" collapsed="false">
      <c r="A120" s="4" t="s">
        <v>269</v>
      </c>
      <c r="B120" s="4"/>
      <c r="C120" s="4" t="s">
        <v>72</v>
      </c>
      <c r="D120" s="8" t="n">
        <v>571.28961</v>
      </c>
      <c r="E120" s="9" t="n">
        <v>4.45</v>
      </c>
      <c r="F120" s="10" t="n">
        <v>3357426.92677454</v>
      </c>
      <c r="G120" s="10" t="n">
        <v>2159761.10603962</v>
      </c>
      <c r="H120" s="10" t="n">
        <v>5222167.39970676</v>
      </c>
      <c r="I120" s="10" t="n">
        <v>1603690.87664907</v>
      </c>
      <c r="J120" s="10" t="n">
        <v>4205036.23265282</v>
      </c>
      <c r="K120" s="11" t="n">
        <v>1.55540761231807</v>
      </c>
      <c r="L120" s="11" t="n">
        <v>0.637292704606164</v>
      </c>
      <c r="M120" s="11" t="n">
        <v>0.469111915517215</v>
      </c>
      <c r="N120" s="11" t="n">
        <v>0.319716600982462</v>
      </c>
      <c r="O120" s="12" t="n">
        <v>0.135577345545589</v>
      </c>
      <c r="P120" s="12" t="n">
        <v>0.513878605264234</v>
      </c>
      <c r="Q120" s="4" t="n">
        <f aca="false">RANK(N120,$N$7:$N$307,0)</f>
        <v>114</v>
      </c>
      <c r="R120" s="4" t="n">
        <f aca="false">RANK(O120,$O$7:$O$307,1)</f>
        <v>77</v>
      </c>
      <c r="S120" s="4" t="n">
        <f aca="false">RANK(J120,$J$7:$J$307,0)</f>
        <v>136</v>
      </c>
      <c r="T120" s="4" t="str">
        <f aca="false">IF(O120&lt;0.05,"YES","no")</f>
        <v>no</v>
      </c>
      <c r="U120" s="4" t="str">
        <f aca="false">IF(P120&lt;0.05,"YES","no")</f>
        <v>no</v>
      </c>
      <c r="V120" s="4" t="str">
        <f aca="false">IF(N120&gt;1,"YES","no")</f>
        <v>no</v>
      </c>
    </row>
    <row r="121" customFormat="false" ht="15" hidden="false" customHeight="false" outlineLevel="0" collapsed="false">
      <c r="A121" s="4" t="s">
        <v>210</v>
      </c>
      <c r="B121" s="4" t="s">
        <v>211</v>
      </c>
      <c r="C121" s="4" t="s">
        <v>61</v>
      </c>
      <c r="D121" s="8" t="n">
        <v>130.0862</v>
      </c>
      <c r="E121" s="9" t="n">
        <v>10.393</v>
      </c>
      <c r="F121" s="10" t="n">
        <v>9534373.61626084</v>
      </c>
      <c r="G121" s="10" t="n">
        <v>1486595.21223273</v>
      </c>
      <c r="H121" s="10" t="n">
        <v>7429392.83111407</v>
      </c>
      <c r="I121" s="10" t="n">
        <v>3642510.93254983</v>
      </c>
      <c r="J121" s="10" t="n">
        <v>8577564.16846686</v>
      </c>
      <c r="K121" s="11" t="n">
        <v>0.779221911174455</v>
      </c>
      <c r="L121" s="11" t="n">
        <v>-0.359893849322497</v>
      </c>
      <c r="M121" s="11" t="n">
        <v>0.398215822546705</v>
      </c>
      <c r="N121" s="11" t="n">
        <v>0.318966322915431</v>
      </c>
      <c r="O121" s="12" t="n">
        <v>0.278955975489362</v>
      </c>
      <c r="P121" s="12" t="n">
        <v>0.59550176327871</v>
      </c>
      <c r="Q121" s="4" t="n">
        <f aca="false">RANK(N121,$N$7:$N$307,0)</f>
        <v>115</v>
      </c>
      <c r="R121" s="4" t="n">
        <f aca="false">RANK(O121,$O$7:$O$307,1)</f>
        <v>141</v>
      </c>
      <c r="S121" s="4" t="n">
        <f aca="false">RANK(J121,$J$7:$J$307,0)</f>
        <v>105</v>
      </c>
      <c r="T121" s="4" t="str">
        <f aca="false">IF(O121&lt;0.05,"YES","no")</f>
        <v>no</v>
      </c>
      <c r="U121" s="4" t="str">
        <f aca="false">IF(P121&lt;0.05,"YES","no")</f>
        <v>no</v>
      </c>
      <c r="V121" s="4" t="str">
        <f aca="false">IF(N121&gt;1,"YES","no")</f>
        <v>no</v>
      </c>
    </row>
    <row r="122" customFormat="false" ht="15" hidden="false" customHeight="false" outlineLevel="0" collapsed="false">
      <c r="A122" s="4" t="s">
        <v>252</v>
      </c>
      <c r="B122" s="4"/>
      <c r="C122" s="4" t="s">
        <v>61</v>
      </c>
      <c r="D122" s="8" t="n">
        <v>117.01924</v>
      </c>
      <c r="E122" s="9" t="n">
        <v>9.061</v>
      </c>
      <c r="F122" s="10" t="n">
        <v>4729955.47414949</v>
      </c>
      <c r="G122" s="10" t="n">
        <v>1513253.53707561</v>
      </c>
      <c r="H122" s="10" t="n">
        <v>6730694.4469817</v>
      </c>
      <c r="I122" s="10" t="n">
        <v>3555677.32859077</v>
      </c>
      <c r="J122" s="10" t="n">
        <v>5639382.27998231</v>
      </c>
      <c r="K122" s="11" t="n">
        <v>1.42299319386129</v>
      </c>
      <c r="L122" s="11" t="n">
        <v>0.50892876150878</v>
      </c>
      <c r="M122" s="11" t="n">
        <v>0.386880815896958</v>
      </c>
      <c r="N122" s="11" t="n">
        <v>0.316621280789299</v>
      </c>
      <c r="O122" s="12" t="n">
        <v>0.291746994921844</v>
      </c>
      <c r="P122" s="12" t="n">
        <v>0.610572911562579</v>
      </c>
      <c r="Q122" s="4" t="n">
        <f aca="false">RANK(N122,$N$7:$N$307,0)</f>
        <v>116</v>
      </c>
      <c r="R122" s="4" t="n">
        <f aca="false">RANK(O122,$O$7:$O$307,1)</f>
        <v>143</v>
      </c>
      <c r="S122" s="4" t="n">
        <f aca="false">RANK(J122,$J$7:$J$307,0)</f>
        <v>125</v>
      </c>
      <c r="T122" s="4" t="str">
        <f aca="false">IF(O122&lt;0.05,"YES","no")</f>
        <v>no</v>
      </c>
      <c r="U122" s="4" t="str">
        <f aca="false">IF(P122&lt;0.05,"YES","no")</f>
        <v>no</v>
      </c>
      <c r="V122" s="4" t="str">
        <f aca="false">IF(N122&gt;1,"YES","no")</f>
        <v>no</v>
      </c>
    </row>
    <row r="123" customFormat="false" ht="15" hidden="false" customHeight="false" outlineLevel="0" collapsed="false">
      <c r="A123" s="4" t="s">
        <v>207</v>
      </c>
      <c r="B123" s="4"/>
      <c r="C123" s="4" t="s">
        <v>61</v>
      </c>
      <c r="D123" s="8" t="n">
        <v>243.06218</v>
      </c>
      <c r="E123" s="9" t="n">
        <v>8.36</v>
      </c>
      <c r="F123" s="10" t="n">
        <v>6532359.73728688</v>
      </c>
      <c r="G123" s="10" t="n">
        <v>3353902.33295491</v>
      </c>
      <c r="H123" s="10" t="n">
        <v>8518825.19646816</v>
      </c>
      <c r="I123" s="10" t="n">
        <v>3758948.18558372</v>
      </c>
      <c r="J123" s="10" t="n">
        <v>7435298.58236928</v>
      </c>
      <c r="K123" s="11" t="n">
        <v>1.30409615193764</v>
      </c>
      <c r="L123" s="11" t="n">
        <v>0.383050244422969</v>
      </c>
      <c r="M123" s="11" t="n">
        <v>0.295168229181673</v>
      </c>
      <c r="N123" s="11" t="n">
        <v>0.316164861133013</v>
      </c>
      <c r="O123" s="12" t="n">
        <v>0.385749182622296</v>
      </c>
      <c r="P123" s="12" t="n">
        <v>0.631541534538384</v>
      </c>
      <c r="Q123" s="4" t="n">
        <f aca="false">RANK(N123,$N$7:$N$307,0)</f>
        <v>117</v>
      </c>
      <c r="R123" s="4" t="n">
        <f aca="false">RANK(O123,$O$7:$O$307,1)</f>
        <v>183</v>
      </c>
      <c r="S123" s="4" t="n">
        <f aca="false">RANK(J123,$J$7:$J$307,0)</f>
        <v>114</v>
      </c>
      <c r="T123" s="4" t="str">
        <f aca="false">IF(O123&lt;0.05,"YES","no")</f>
        <v>no</v>
      </c>
      <c r="U123" s="4" t="str">
        <f aca="false">IF(P123&lt;0.05,"YES","no")</f>
        <v>no</v>
      </c>
      <c r="V123" s="4" t="str">
        <f aca="false">IF(N123&gt;1,"YES","no")</f>
        <v>no</v>
      </c>
    </row>
    <row r="124" customFormat="false" ht="15" hidden="false" customHeight="false" outlineLevel="0" collapsed="false">
      <c r="A124" s="4" t="s">
        <v>253</v>
      </c>
      <c r="B124" s="4"/>
      <c r="C124" s="4" t="s">
        <v>61</v>
      </c>
      <c r="D124" s="8" t="n">
        <v>212.04317</v>
      </c>
      <c r="E124" s="9" t="n">
        <v>9.518</v>
      </c>
      <c r="F124" s="10" t="n">
        <v>6193389.92080683</v>
      </c>
      <c r="G124" s="10" t="n">
        <v>7846924.85326055</v>
      </c>
      <c r="H124" s="10" t="n">
        <v>3297250.65746641</v>
      </c>
      <c r="I124" s="10" t="n">
        <v>5440787.12743094</v>
      </c>
      <c r="J124" s="10" t="n">
        <v>4876962.98292482</v>
      </c>
      <c r="K124" s="11" t="n">
        <v>0.532382217110087</v>
      </c>
      <c r="L124" s="11" t="n">
        <v>-0.909465712434628</v>
      </c>
      <c r="M124" s="11" t="n">
        <v>0.225676084811435</v>
      </c>
      <c r="N124" s="11" t="n">
        <v>0.315474575678772</v>
      </c>
      <c r="O124" s="12" t="n">
        <v>0.490284588975516</v>
      </c>
      <c r="P124" s="12" t="n">
        <v>0.700448056669827</v>
      </c>
      <c r="Q124" s="4" t="n">
        <f aca="false">RANK(N124,$N$7:$N$307,0)</f>
        <v>118</v>
      </c>
      <c r="R124" s="4" t="n">
        <f aca="false">RANK(O124,$O$7:$O$307,1)</f>
        <v>210</v>
      </c>
      <c r="S124" s="4" t="n">
        <f aca="false">RANK(J124,$J$7:$J$307,0)</f>
        <v>129</v>
      </c>
      <c r="T124" s="4" t="str">
        <f aca="false">IF(O124&lt;0.05,"YES","no")</f>
        <v>no</v>
      </c>
      <c r="U124" s="4" t="str">
        <f aca="false">IF(P124&lt;0.05,"YES","no")</f>
        <v>no</v>
      </c>
      <c r="V124" s="4" t="str">
        <f aca="false">IF(N124&gt;1,"YES","no")</f>
        <v>no</v>
      </c>
    </row>
    <row r="125" customFormat="false" ht="15" hidden="false" customHeight="false" outlineLevel="0" collapsed="false">
      <c r="A125" s="4" t="s">
        <v>182</v>
      </c>
      <c r="B125" s="4"/>
      <c r="C125" s="4" t="s">
        <v>61</v>
      </c>
      <c r="D125" s="8" t="n">
        <v>103.03999</v>
      </c>
      <c r="E125" s="9" t="n">
        <v>7.484</v>
      </c>
      <c r="F125" s="10" t="n">
        <v>5495971.15550073</v>
      </c>
      <c r="G125" s="10" t="n">
        <v>3510638.83468713</v>
      </c>
      <c r="H125" s="10" t="n">
        <v>3534716.73225627</v>
      </c>
      <c r="I125" s="10" t="n">
        <v>1839013.03473232</v>
      </c>
      <c r="J125" s="10" t="n">
        <v>4604491.87220779</v>
      </c>
      <c r="K125" s="11" t="n">
        <v>0.643146885645222</v>
      </c>
      <c r="L125" s="11" t="n">
        <v>-0.636779828576226</v>
      </c>
      <c r="M125" s="11" t="n">
        <v>0.349990758913493</v>
      </c>
      <c r="N125" s="11" t="n">
        <v>0.313292596532219</v>
      </c>
      <c r="O125" s="12" t="n">
        <v>0.270240017906308</v>
      </c>
      <c r="P125" s="12" t="n">
        <v>0.589747674995542</v>
      </c>
      <c r="Q125" s="4" t="n">
        <f aca="false">RANK(N125,$N$7:$N$307,0)</f>
        <v>119</v>
      </c>
      <c r="R125" s="4" t="n">
        <f aca="false">RANK(O125,$O$7:$O$307,1)</f>
        <v>137</v>
      </c>
      <c r="S125" s="4" t="n">
        <f aca="false">RANK(J125,$J$7:$J$307,0)</f>
        <v>133</v>
      </c>
      <c r="T125" s="4" t="str">
        <f aca="false">IF(O125&lt;0.05,"YES","no")</f>
        <v>no</v>
      </c>
      <c r="U125" s="4" t="str">
        <f aca="false">IF(P125&lt;0.05,"YES","no")</f>
        <v>no</v>
      </c>
      <c r="V125" s="4" t="str">
        <f aca="false">IF(N125&gt;1,"YES","no")</f>
        <v>no</v>
      </c>
    </row>
    <row r="126" customFormat="false" ht="15" hidden="false" customHeight="false" outlineLevel="0" collapsed="false">
      <c r="A126" s="4" t="s">
        <v>212</v>
      </c>
      <c r="B126" s="4" t="s">
        <v>174</v>
      </c>
      <c r="C126" s="4" t="s">
        <v>72</v>
      </c>
      <c r="D126" s="8" t="n">
        <v>505.98832</v>
      </c>
      <c r="E126" s="9" t="n">
        <v>12.002</v>
      </c>
      <c r="F126" s="10" t="n">
        <v>3984906.08488224</v>
      </c>
      <c r="G126" s="10" t="n">
        <v>937332.92456522</v>
      </c>
      <c r="H126" s="10" t="n">
        <v>2456838.59150511</v>
      </c>
      <c r="I126" s="10" t="n">
        <v>1355197.84040886</v>
      </c>
      <c r="J126" s="10" t="n">
        <v>3290329.951529</v>
      </c>
      <c r="K126" s="11" t="n">
        <v>0.616536133894287</v>
      </c>
      <c r="L126" s="11" t="n">
        <v>-0.697742644440197</v>
      </c>
      <c r="M126" s="11" t="n">
        <v>0.59303345356209</v>
      </c>
      <c r="N126" s="11" t="n">
        <v>0.31000512094802</v>
      </c>
      <c r="O126" s="12" t="n">
        <v>0.070796004633989</v>
      </c>
      <c r="P126" s="12" t="n">
        <v>0.473393770420731</v>
      </c>
      <c r="Q126" s="4" t="n">
        <f aca="false">RANK(N126,$N$7:$N$307,0)</f>
        <v>120</v>
      </c>
      <c r="R126" s="4" t="n">
        <f aca="false">RANK(O126,$O$7:$O$307,1)</f>
        <v>43</v>
      </c>
      <c r="S126" s="4" t="n">
        <f aca="false">RANK(J126,$J$7:$J$307,0)</f>
        <v>151</v>
      </c>
      <c r="T126" s="4" t="str">
        <f aca="false">IF(O126&lt;0.05,"YES","no")</f>
        <v>no</v>
      </c>
      <c r="U126" s="4" t="str">
        <f aca="false">IF(P126&lt;0.05,"YES","no")</f>
        <v>no</v>
      </c>
      <c r="V126" s="4" t="str">
        <f aca="false">IF(N126&gt;1,"YES","no")</f>
        <v>no</v>
      </c>
    </row>
    <row r="127" customFormat="false" ht="15" hidden="false" customHeight="false" outlineLevel="0" collapsed="false">
      <c r="A127" s="4" t="s">
        <v>176</v>
      </c>
      <c r="B127" s="4"/>
      <c r="C127" s="4" t="s">
        <v>72</v>
      </c>
      <c r="D127" s="8" t="n">
        <v>126.10251</v>
      </c>
      <c r="E127" s="9" t="n">
        <v>12.961</v>
      </c>
      <c r="F127" s="10" t="n">
        <v>8988921.83875485</v>
      </c>
      <c r="G127" s="10" t="n">
        <v>2608460.84607086</v>
      </c>
      <c r="H127" s="10" t="n">
        <v>10343018.7380246</v>
      </c>
      <c r="I127" s="10" t="n">
        <v>1795847.09381657</v>
      </c>
      <c r="J127" s="10" t="n">
        <v>9604420.429332</v>
      </c>
      <c r="K127" s="11" t="n">
        <v>1.15064063561346</v>
      </c>
      <c r="L127" s="11" t="n">
        <v>0.202437325936929</v>
      </c>
      <c r="M127" s="11" t="n">
        <v>0.310342569895634</v>
      </c>
      <c r="N127" s="11" t="n">
        <v>0.30448554104406</v>
      </c>
      <c r="O127" s="12" t="n">
        <v>0.337214046434379</v>
      </c>
      <c r="P127" s="12" t="n">
        <v>0.618867706104994</v>
      </c>
      <c r="Q127" s="4" t="n">
        <f aca="false">RANK(N127,$N$7:$N$307,0)</f>
        <v>121</v>
      </c>
      <c r="R127" s="4" t="n">
        <f aca="false">RANK(O127,$O$7:$O$307,1)</f>
        <v>163</v>
      </c>
      <c r="S127" s="4" t="n">
        <f aca="false">RANK(J127,$J$7:$J$307,0)</f>
        <v>99</v>
      </c>
      <c r="T127" s="4" t="str">
        <f aca="false">IF(O127&lt;0.05,"YES","no")</f>
        <v>no</v>
      </c>
      <c r="U127" s="4" t="str">
        <f aca="false">IF(P127&lt;0.05,"YES","no")</f>
        <v>no</v>
      </c>
      <c r="V127" s="4" t="str">
        <f aca="false">IF(N127&gt;1,"YES","no")</f>
        <v>no</v>
      </c>
    </row>
    <row r="128" customFormat="false" ht="15" hidden="false" customHeight="false" outlineLevel="0" collapsed="false">
      <c r="A128" s="4" t="s">
        <v>152</v>
      </c>
      <c r="B128" s="4" t="s">
        <v>153</v>
      </c>
      <c r="C128" s="4" t="s">
        <v>61</v>
      </c>
      <c r="D128" s="8" t="n">
        <v>133.09704</v>
      </c>
      <c r="E128" s="9" t="n">
        <v>17</v>
      </c>
      <c r="F128" s="10" t="n">
        <v>14913051.97746</v>
      </c>
      <c r="G128" s="10" t="n">
        <v>4011521.58002462</v>
      </c>
      <c r="H128" s="10" t="n">
        <v>17017708.77887</v>
      </c>
      <c r="I128" s="10" t="n">
        <v>4287754.4787759</v>
      </c>
      <c r="J128" s="10" t="n">
        <v>15869714.1599191</v>
      </c>
      <c r="K128" s="11" t="n">
        <v>1.14112850975045</v>
      </c>
      <c r="L128" s="11" t="n">
        <v>0.19046127185423</v>
      </c>
      <c r="M128" s="11" t="n">
        <v>0.269702437633237</v>
      </c>
      <c r="N128" s="11" t="n">
        <v>0.302181623138475</v>
      </c>
      <c r="O128" s="12" t="n">
        <v>0.427054182395542</v>
      </c>
      <c r="P128" s="12" t="n">
        <v>0.665820888057596</v>
      </c>
      <c r="Q128" s="4" t="n">
        <f aca="false">RANK(N128,$N$7:$N$307,0)</f>
        <v>122</v>
      </c>
      <c r="R128" s="4" t="n">
        <f aca="false">RANK(O128,$O$7:$O$307,1)</f>
        <v>191</v>
      </c>
      <c r="S128" s="4" t="n">
        <f aca="false">RANK(J128,$J$7:$J$307,0)</f>
        <v>85</v>
      </c>
      <c r="T128" s="4" t="str">
        <f aca="false">IF(O128&lt;0.05,"YES","no")</f>
        <v>no</v>
      </c>
      <c r="U128" s="4" t="str">
        <f aca="false">IF(P128&lt;0.05,"YES","no")</f>
        <v>no</v>
      </c>
      <c r="V128" s="4" t="str">
        <f aca="false">IF(N128&gt;1,"YES","no")</f>
        <v>no</v>
      </c>
    </row>
    <row r="129" customFormat="false" ht="15" hidden="false" customHeight="false" outlineLevel="0" collapsed="false">
      <c r="A129" s="4" t="s">
        <v>80</v>
      </c>
      <c r="B129" s="4"/>
      <c r="C129" s="4" t="s">
        <v>61</v>
      </c>
      <c r="D129" s="8" t="n">
        <v>139.05016</v>
      </c>
      <c r="E129" s="9" t="n">
        <v>8.782</v>
      </c>
      <c r="F129" s="10" t="n">
        <v>18538715.1769018</v>
      </c>
      <c r="G129" s="10" t="n">
        <v>3545343.98540287</v>
      </c>
      <c r="H129" s="10" t="n">
        <v>17326443.2354984</v>
      </c>
      <c r="I129" s="10" t="n">
        <v>10076748.692005</v>
      </c>
      <c r="J129" s="10" t="n">
        <v>17987682.4762639</v>
      </c>
      <c r="K129" s="11" t="n">
        <v>0.934608632268445</v>
      </c>
      <c r="L129" s="11" t="n">
        <v>-0.0975657325473035</v>
      </c>
      <c r="M129" s="11" t="n">
        <v>0.0920502863273857</v>
      </c>
      <c r="N129" s="11" t="n">
        <v>0.29743296824471</v>
      </c>
      <c r="O129" s="12" t="n">
        <v>0.808412735080196</v>
      </c>
      <c r="P129" s="12" t="n">
        <v>0.897600717201202</v>
      </c>
      <c r="Q129" s="4" t="n">
        <f aca="false">RANK(N129,$N$7:$N$307,0)</f>
        <v>123</v>
      </c>
      <c r="R129" s="4" t="n">
        <f aca="false">RANK(O129,$O$7:$O$307,1)</f>
        <v>271</v>
      </c>
      <c r="S129" s="4" t="n">
        <f aca="false">RANK(J129,$J$7:$J$307,0)</f>
        <v>81</v>
      </c>
      <c r="T129" s="4" t="str">
        <f aca="false">IF(O129&lt;0.05,"YES","no")</f>
        <v>no</v>
      </c>
      <c r="U129" s="4" t="str">
        <f aca="false">IF(P129&lt;0.05,"YES","no")</f>
        <v>no</v>
      </c>
      <c r="V129" s="4" t="str">
        <f aca="false">IF(N129&gt;1,"YES","no")</f>
        <v>no</v>
      </c>
    </row>
    <row r="130" customFormat="false" ht="15" hidden="false" customHeight="false" outlineLevel="0" collapsed="false">
      <c r="A130" s="4" t="s">
        <v>197</v>
      </c>
      <c r="B130" s="4"/>
      <c r="C130" s="4" t="s">
        <v>61</v>
      </c>
      <c r="D130" s="8" t="n">
        <v>103.04002</v>
      </c>
      <c r="E130" s="9" t="n">
        <v>6.831</v>
      </c>
      <c r="F130" s="10" t="n">
        <v>7866758.24662369</v>
      </c>
      <c r="G130" s="10" t="n">
        <v>3952293.20663874</v>
      </c>
      <c r="H130" s="10" t="n">
        <v>7008206.41356641</v>
      </c>
      <c r="I130" s="10" t="n">
        <v>3742658.19420544</v>
      </c>
      <c r="J130" s="10" t="n">
        <v>7476507.41341583</v>
      </c>
      <c r="K130" s="11" t="n">
        <v>0.89086332563661</v>
      </c>
      <c r="L130" s="11" t="n">
        <v>-0.166723981379144</v>
      </c>
      <c r="M130" s="11" t="n">
        <v>0.121515744426937</v>
      </c>
      <c r="N130" s="11" t="n">
        <v>0.297361318426193</v>
      </c>
      <c r="O130" s="12" t="n">
        <v>0.720633277424467</v>
      </c>
      <c r="P130" s="12" t="n">
        <v>0.856454635073149</v>
      </c>
      <c r="Q130" s="4" t="n">
        <f aca="false">RANK(N130,$N$7:$N$307,0)</f>
        <v>124</v>
      </c>
      <c r="R130" s="4" t="n">
        <f aca="false">RANK(O130,$O$7:$O$307,1)</f>
        <v>252</v>
      </c>
      <c r="S130" s="4" t="n">
        <f aca="false">RANK(J130,$J$7:$J$307,0)</f>
        <v>112</v>
      </c>
      <c r="T130" s="4" t="str">
        <f aca="false">IF(O130&lt;0.05,"YES","no")</f>
        <v>no</v>
      </c>
      <c r="U130" s="4" t="str">
        <f aca="false">IF(P130&lt;0.05,"YES","no")</f>
        <v>no</v>
      </c>
      <c r="V130" s="4" t="str">
        <f aca="false">IF(N130&gt;1,"YES","no")</f>
        <v>no</v>
      </c>
    </row>
    <row r="131" customFormat="false" ht="15" hidden="false" customHeight="false" outlineLevel="0" collapsed="false">
      <c r="A131" s="4" t="s">
        <v>167</v>
      </c>
      <c r="B131" s="4"/>
      <c r="C131" s="4" t="s">
        <v>72</v>
      </c>
      <c r="D131" s="8" t="n">
        <v>260.18566</v>
      </c>
      <c r="E131" s="9" t="n">
        <v>7.525</v>
      </c>
      <c r="F131" s="10" t="n">
        <v>29965155.5928215</v>
      </c>
      <c r="G131" s="10" t="n">
        <v>12908230.8528955</v>
      </c>
      <c r="H131" s="10" t="n">
        <v>26395805.5687947</v>
      </c>
      <c r="I131" s="10" t="n">
        <v>3565269.36865539</v>
      </c>
      <c r="J131" s="10" t="n">
        <v>28342723.7637184</v>
      </c>
      <c r="K131" s="11" t="n">
        <v>0.880883314189036</v>
      </c>
      <c r="L131" s="11" t="n">
        <v>-0.182977169033392</v>
      </c>
      <c r="M131" s="11" t="n">
        <v>0.194475944001953</v>
      </c>
      <c r="N131" s="11" t="n">
        <v>0.294594185880943</v>
      </c>
      <c r="O131" s="12" t="n">
        <v>0.54120038654068</v>
      </c>
      <c r="P131" s="12" t="n">
        <v>0.733789713282633</v>
      </c>
      <c r="Q131" s="4" t="n">
        <f aca="false">RANK(N131,$N$7:$N$307,0)</f>
        <v>125</v>
      </c>
      <c r="R131" s="4" t="n">
        <f aca="false">RANK(O131,$O$7:$O$307,1)</f>
        <v>222</v>
      </c>
      <c r="S131" s="4" t="n">
        <f aca="false">RANK(J131,$J$7:$J$307,0)</f>
        <v>66</v>
      </c>
      <c r="T131" s="4" t="str">
        <f aca="false">IF(O131&lt;0.05,"YES","no")</f>
        <v>no</v>
      </c>
      <c r="U131" s="4" t="str">
        <f aca="false">IF(P131&lt;0.05,"YES","no")</f>
        <v>no</v>
      </c>
      <c r="V131" s="4" t="str">
        <f aca="false">IF(N131&gt;1,"YES","no")</f>
        <v>no</v>
      </c>
    </row>
    <row r="132" customFormat="false" ht="15" hidden="false" customHeight="false" outlineLevel="0" collapsed="false">
      <c r="A132" s="4" t="s">
        <v>179</v>
      </c>
      <c r="B132" s="4"/>
      <c r="C132" s="4" t="s">
        <v>61</v>
      </c>
      <c r="D132" s="8" t="n">
        <v>362.05046</v>
      </c>
      <c r="E132" s="9" t="n">
        <v>10.29</v>
      </c>
      <c r="F132" s="10" t="n">
        <v>32878554.7503557</v>
      </c>
      <c r="G132" s="10" t="n">
        <v>6973166.35621437</v>
      </c>
      <c r="H132" s="10" t="n">
        <v>31904419.4610122</v>
      </c>
      <c r="I132" s="10" t="n">
        <v>13053126.7559585</v>
      </c>
      <c r="J132" s="10" t="n">
        <v>32435765.9824723</v>
      </c>
      <c r="K132" s="11" t="n">
        <v>0.97037171199464</v>
      </c>
      <c r="L132" s="11" t="n">
        <v>-0.0433906008591722</v>
      </c>
      <c r="M132" s="11" t="n">
        <v>0.0528305585722682</v>
      </c>
      <c r="N132" s="11" t="n">
        <v>0.294360590898428</v>
      </c>
      <c r="O132" s="12" t="n">
        <v>0.885798887078145</v>
      </c>
      <c r="P132" s="12" t="n">
        <v>0.928199059834741</v>
      </c>
      <c r="Q132" s="4" t="n">
        <f aca="false">RANK(N132,$N$7:$N$307,0)</f>
        <v>126</v>
      </c>
      <c r="R132" s="4" t="n">
        <f aca="false">RANK(O132,$O$7:$O$307,1)</f>
        <v>287</v>
      </c>
      <c r="S132" s="4" t="n">
        <f aca="false">RANK(J132,$J$7:$J$307,0)</f>
        <v>60</v>
      </c>
      <c r="T132" s="4" t="str">
        <f aca="false">IF(O132&lt;0.05,"YES","no")</f>
        <v>no</v>
      </c>
      <c r="U132" s="4" t="str">
        <f aca="false">IF(P132&lt;0.05,"YES","no")</f>
        <v>no</v>
      </c>
      <c r="V132" s="4" t="str">
        <f aca="false">IF(N132&gt;1,"YES","no")</f>
        <v>no</v>
      </c>
    </row>
    <row r="133" customFormat="false" ht="15" hidden="false" customHeight="false" outlineLevel="0" collapsed="false">
      <c r="A133" s="4" t="s">
        <v>238</v>
      </c>
      <c r="B133" s="4" t="s">
        <v>239</v>
      </c>
      <c r="C133" s="4" t="s">
        <v>72</v>
      </c>
      <c r="D133" s="8" t="n">
        <v>271.22774</v>
      </c>
      <c r="E133" s="9" t="n">
        <v>3.836</v>
      </c>
      <c r="F133" s="10" t="n">
        <v>4929932.20823406</v>
      </c>
      <c r="G133" s="10" t="n">
        <v>1883984.33407196</v>
      </c>
      <c r="H133" s="10" t="n">
        <v>6635097.95508252</v>
      </c>
      <c r="I133" s="10" t="n">
        <v>3178167.96711802</v>
      </c>
      <c r="J133" s="10" t="n">
        <v>5705007.54771064</v>
      </c>
      <c r="K133" s="11" t="n">
        <v>1.34588016119176</v>
      </c>
      <c r="L133" s="11" t="n">
        <v>0.428549956343975</v>
      </c>
      <c r="M133" s="11" t="n">
        <v>0.346414913943567</v>
      </c>
      <c r="N133" s="11" t="n">
        <v>0.293041812781774</v>
      </c>
      <c r="O133" s="12" t="n">
        <v>0.33039983263192</v>
      </c>
      <c r="P133" s="12" t="n">
        <v>0.617704034920547</v>
      </c>
      <c r="Q133" s="4" t="n">
        <f aca="false">RANK(N133,$N$7:$N$307,0)</f>
        <v>127</v>
      </c>
      <c r="R133" s="4" t="n">
        <f aca="false">RANK(O133,$O$7:$O$307,1)</f>
        <v>161</v>
      </c>
      <c r="S133" s="4" t="n">
        <f aca="false">RANK(J133,$J$7:$J$307,0)</f>
        <v>123</v>
      </c>
      <c r="T133" s="4" t="str">
        <f aca="false">IF(O133&lt;0.05,"YES","no")</f>
        <v>no</v>
      </c>
      <c r="U133" s="4" t="str">
        <f aca="false">IF(P133&lt;0.05,"YES","no")</f>
        <v>no</v>
      </c>
      <c r="V133" s="4" t="str">
        <f aca="false">IF(N133&gt;1,"YES","no")</f>
        <v>no</v>
      </c>
    </row>
    <row r="134" customFormat="false" ht="15" hidden="false" customHeight="false" outlineLevel="0" collapsed="false">
      <c r="A134" s="4" t="s">
        <v>271</v>
      </c>
      <c r="B134" s="4"/>
      <c r="C134" s="4" t="s">
        <v>61</v>
      </c>
      <c r="D134" s="8" t="n">
        <v>168.9909</v>
      </c>
      <c r="E134" s="9" t="n">
        <v>9.562</v>
      </c>
      <c r="F134" s="10" t="n">
        <v>2000213.71382203</v>
      </c>
      <c r="G134" s="10" t="n">
        <v>621714.15883323</v>
      </c>
      <c r="H134" s="10" t="n">
        <v>3356629.597435</v>
      </c>
      <c r="I134" s="10" t="n">
        <v>2048404.03594373</v>
      </c>
      <c r="J134" s="10" t="n">
        <v>2616766.38819156</v>
      </c>
      <c r="K134" s="11" t="n">
        <v>1.67813547834402</v>
      </c>
      <c r="L134" s="11" t="n">
        <v>0.746859191370826</v>
      </c>
      <c r="M134" s="11" t="n">
        <v>0.459800066945582</v>
      </c>
      <c r="N134" s="11" t="n">
        <v>0.290886696724025</v>
      </c>
      <c r="O134" s="12" t="n">
        <v>0.217592002927992</v>
      </c>
      <c r="P134" s="12" t="n">
        <v>0.545793274011047</v>
      </c>
      <c r="Q134" s="4" t="n">
        <f aca="false">RANK(N134,$N$7:$N$307,0)</f>
        <v>128</v>
      </c>
      <c r="R134" s="4" t="n">
        <f aca="false">RANK(O134,$O$7:$O$307,1)</f>
        <v>120</v>
      </c>
      <c r="S134" s="4" t="n">
        <f aca="false">RANK(J134,$J$7:$J$307,0)</f>
        <v>163</v>
      </c>
      <c r="T134" s="4" t="str">
        <f aca="false">IF(O134&lt;0.05,"YES","no")</f>
        <v>no</v>
      </c>
      <c r="U134" s="4" t="str">
        <f aca="false">IF(P134&lt;0.05,"YES","no")</f>
        <v>no</v>
      </c>
      <c r="V134" s="4" t="str">
        <f aca="false">IF(N134&gt;1,"YES","no")</f>
        <v>no</v>
      </c>
    </row>
    <row r="135" customFormat="false" ht="15" hidden="false" customHeight="false" outlineLevel="0" collapsed="false">
      <c r="A135" s="4" t="s">
        <v>369</v>
      </c>
      <c r="B135" s="4"/>
      <c r="C135" s="4" t="s">
        <v>72</v>
      </c>
      <c r="D135" s="8" t="n">
        <v>232.14043</v>
      </c>
      <c r="E135" s="9" t="n">
        <v>12.361</v>
      </c>
      <c r="F135" s="10" t="n">
        <v>2033971.62528736</v>
      </c>
      <c r="G135" s="10" t="n">
        <v>1165847.78811824</v>
      </c>
      <c r="H135" s="10" t="n">
        <v>3462303.05592314</v>
      </c>
      <c r="I135" s="10" t="n">
        <v>1910240.67332694</v>
      </c>
      <c r="J135" s="10" t="n">
        <v>2683213.18466726</v>
      </c>
      <c r="K135" s="11" t="n">
        <v>1.70223763836135</v>
      </c>
      <c r="L135" s="11" t="n">
        <v>0.767432456385518</v>
      </c>
      <c r="M135" s="11" t="n">
        <v>0.454323230057466</v>
      </c>
      <c r="N135" s="11" t="n">
        <v>0.290491550411461</v>
      </c>
      <c r="O135" s="12" t="n">
        <v>0.191579509824595</v>
      </c>
      <c r="P135" s="12" t="n">
        <v>0.545793274011047</v>
      </c>
      <c r="Q135" s="4" t="n">
        <f aca="false">RANK(N135,$N$7:$N$307,0)</f>
        <v>129</v>
      </c>
      <c r="R135" s="4" t="n">
        <f aca="false">RANK(O135,$O$7:$O$307,1)</f>
        <v>102</v>
      </c>
      <c r="S135" s="4" t="n">
        <f aca="false">RANK(J135,$J$7:$J$307,0)</f>
        <v>159</v>
      </c>
      <c r="T135" s="4" t="str">
        <f aca="false">IF(O135&lt;0.05,"YES","no")</f>
        <v>no</v>
      </c>
      <c r="U135" s="4" t="str">
        <f aca="false">IF(P135&lt;0.05,"YES","no")</f>
        <v>no</v>
      </c>
      <c r="V135" s="4" t="str">
        <f aca="false">IF(N135&gt;1,"YES","no")</f>
        <v>no</v>
      </c>
    </row>
    <row r="136" customFormat="false" ht="15" hidden="false" customHeight="false" outlineLevel="0" collapsed="false">
      <c r="A136" s="4" t="s">
        <v>237</v>
      </c>
      <c r="B136" s="4"/>
      <c r="C136" s="4" t="s">
        <v>72</v>
      </c>
      <c r="D136" s="8" t="n">
        <v>303.23251</v>
      </c>
      <c r="E136" s="9" t="n">
        <v>3.641</v>
      </c>
      <c r="F136" s="10" t="n">
        <v>4948770.86465294</v>
      </c>
      <c r="G136" s="10" t="n">
        <v>2572356.95183328</v>
      </c>
      <c r="H136" s="10" t="n">
        <v>3367367.40731454</v>
      </c>
      <c r="I136" s="10" t="n">
        <v>2589055.80863678</v>
      </c>
      <c r="J136" s="10" t="n">
        <v>4229951.1113173</v>
      </c>
      <c r="K136" s="11" t="n">
        <v>0.680445205367311</v>
      </c>
      <c r="L136" s="11" t="n">
        <v>-0.555449105278143</v>
      </c>
      <c r="M136" s="11" t="n">
        <v>0.319730553167258</v>
      </c>
      <c r="N136" s="11" t="n">
        <v>0.288313593479544</v>
      </c>
      <c r="O136" s="12" t="n">
        <v>0.339246416967854</v>
      </c>
      <c r="P136" s="12" t="n">
        <v>0.618867706104994</v>
      </c>
      <c r="Q136" s="4" t="n">
        <f aca="false">RANK(N136,$N$7:$N$307,0)</f>
        <v>130</v>
      </c>
      <c r="R136" s="4" t="n">
        <f aca="false">RANK(O136,$O$7:$O$307,1)</f>
        <v>165</v>
      </c>
      <c r="S136" s="4" t="n">
        <f aca="false">RANK(J136,$J$7:$J$307,0)</f>
        <v>134</v>
      </c>
      <c r="T136" s="4" t="str">
        <f aca="false">IF(O136&lt;0.05,"YES","no")</f>
        <v>no</v>
      </c>
      <c r="U136" s="4" t="str">
        <f aca="false">IF(P136&lt;0.05,"YES","no")</f>
        <v>no</v>
      </c>
      <c r="V136" s="4" t="str">
        <f aca="false">IF(N136&gt;1,"YES","no")</f>
        <v>no</v>
      </c>
    </row>
    <row r="137" customFormat="false" ht="15" hidden="false" customHeight="false" outlineLevel="0" collapsed="false">
      <c r="A137" s="4" t="s">
        <v>385</v>
      </c>
      <c r="B137" s="4"/>
      <c r="C137" s="4" t="s">
        <v>72</v>
      </c>
      <c r="D137" s="8" t="n">
        <v>205.11833</v>
      </c>
      <c r="E137" s="9" t="n">
        <v>7.411</v>
      </c>
      <c r="F137" s="10" t="n">
        <v>1114338.2681259</v>
      </c>
      <c r="G137" s="10" t="n">
        <v>858856.24860911</v>
      </c>
      <c r="H137" s="10" t="n">
        <v>2340621.37237968</v>
      </c>
      <c r="I137" s="10" t="n">
        <v>1198447.25832684</v>
      </c>
      <c r="J137" s="10" t="n">
        <v>1671739.67915035</v>
      </c>
      <c r="K137" s="11" t="n">
        <v>2.1004585764753</v>
      </c>
      <c r="L137" s="11" t="n">
        <v>1.07070433445431</v>
      </c>
      <c r="M137" s="11" t="n">
        <v>0.550471044579521</v>
      </c>
      <c r="N137" s="11" t="n">
        <v>0.284576239550996</v>
      </c>
      <c r="O137" s="12" t="n">
        <v>0.0964178400399163</v>
      </c>
      <c r="P137" s="12" t="n">
        <v>0.486863080767276</v>
      </c>
      <c r="Q137" s="4" t="n">
        <f aca="false">RANK(N137,$N$7:$N$307,0)</f>
        <v>131</v>
      </c>
      <c r="R137" s="4" t="n">
        <f aca="false">RANK(O137,$O$7:$O$307,1)</f>
        <v>58</v>
      </c>
      <c r="S137" s="4" t="n">
        <f aca="false">RANK(J137,$J$7:$J$307,0)</f>
        <v>189</v>
      </c>
      <c r="T137" s="4" t="str">
        <f aca="false">IF(O137&lt;0.05,"YES","no")</f>
        <v>no</v>
      </c>
      <c r="U137" s="4" t="str">
        <f aca="false">IF(P137&lt;0.05,"YES","no")</f>
        <v>no</v>
      </c>
      <c r="V137" s="4" t="str">
        <f aca="false">IF(N137&gt;1,"YES","no")</f>
        <v>no</v>
      </c>
    </row>
    <row r="138" customFormat="false" ht="15" hidden="false" customHeight="false" outlineLevel="0" collapsed="false">
      <c r="A138" s="4" t="s">
        <v>284</v>
      </c>
      <c r="B138" s="4"/>
      <c r="C138" s="4" t="s">
        <v>72</v>
      </c>
      <c r="D138" s="8" t="n">
        <v>403.55546</v>
      </c>
      <c r="E138" s="9" t="n">
        <v>8.307</v>
      </c>
      <c r="F138" s="10" t="n">
        <v>4233225.77190276</v>
      </c>
      <c r="G138" s="10" t="n">
        <v>2410126.11330127</v>
      </c>
      <c r="H138" s="10" t="n">
        <v>5197142.96397629</v>
      </c>
      <c r="I138" s="10" t="n">
        <v>4265083.92454857</v>
      </c>
      <c r="J138" s="10" t="n">
        <v>4671369.950118</v>
      </c>
      <c r="K138" s="11" t="n">
        <v>1.22770276002555</v>
      </c>
      <c r="L138" s="11" t="n">
        <v>0.295961311078885</v>
      </c>
      <c r="M138" s="11" t="n">
        <v>0.155838897148308</v>
      </c>
      <c r="N138" s="11" t="n">
        <v>0.280510939132981</v>
      </c>
      <c r="O138" s="12" t="n">
        <v>0.668939222738691</v>
      </c>
      <c r="P138" s="12" t="n">
        <v>0.825207811657155</v>
      </c>
      <c r="Q138" s="4" t="n">
        <f aca="false">RANK(N138,$N$7:$N$307,0)</f>
        <v>132</v>
      </c>
      <c r="R138" s="4" t="n">
        <f aca="false">RANK(O138,$O$7:$O$307,1)</f>
        <v>244</v>
      </c>
      <c r="S138" s="4" t="n">
        <f aca="false">RANK(J138,$J$7:$J$307,0)</f>
        <v>131</v>
      </c>
      <c r="T138" s="4" t="str">
        <f aca="false">IF(O138&lt;0.05,"YES","no")</f>
        <v>no</v>
      </c>
      <c r="U138" s="4" t="str">
        <f aca="false">IF(P138&lt;0.05,"YES","no")</f>
        <v>no</v>
      </c>
      <c r="V138" s="4" t="str">
        <f aca="false">IF(N138&gt;1,"YES","no")</f>
        <v>no</v>
      </c>
    </row>
    <row r="139" customFormat="false" ht="15" hidden="false" customHeight="false" outlineLevel="0" collapsed="false">
      <c r="A139" s="4" t="s">
        <v>347</v>
      </c>
      <c r="B139" s="4"/>
      <c r="C139" s="4" t="s">
        <v>72</v>
      </c>
      <c r="D139" s="8" t="n">
        <v>313.23841</v>
      </c>
      <c r="E139" s="9" t="n">
        <v>3.948</v>
      </c>
      <c r="F139" s="10" t="n">
        <v>752837.926708836</v>
      </c>
      <c r="G139" s="10" t="n">
        <v>249366.834631604</v>
      </c>
      <c r="H139" s="10" t="n">
        <v>1858871.29067798</v>
      </c>
      <c r="I139" s="10" t="n">
        <v>1210529.90492782</v>
      </c>
      <c r="J139" s="10" t="n">
        <v>1255580.36487663</v>
      </c>
      <c r="K139" s="11" t="n">
        <v>2.46915202426685</v>
      </c>
      <c r="L139" s="11" t="n">
        <v>1.30401566511735</v>
      </c>
      <c r="M139" s="11" t="n">
        <v>0.592339667603214</v>
      </c>
      <c r="N139" s="11" t="n">
        <v>0.272421224744438</v>
      </c>
      <c r="O139" s="12" t="n">
        <v>0.110409352485735</v>
      </c>
      <c r="P139" s="12" t="n">
        <v>0.511280232280096</v>
      </c>
      <c r="Q139" s="4" t="n">
        <f aca="false">RANK(N139,$N$7:$N$307,0)</f>
        <v>133</v>
      </c>
      <c r="R139" s="4" t="n">
        <f aca="false">RANK(O139,$O$7:$O$307,1)</f>
        <v>65</v>
      </c>
      <c r="S139" s="4" t="n">
        <f aca="false">RANK(J139,$J$7:$J$307,0)</f>
        <v>202</v>
      </c>
      <c r="T139" s="4" t="str">
        <f aca="false">IF(O139&lt;0.05,"YES","no")</f>
        <v>no</v>
      </c>
      <c r="U139" s="4" t="str">
        <f aca="false">IF(P139&lt;0.05,"YES","no")</f>
        <v>no</v>
      </c>
      <c r="V139" s="4" t="str">
        <f aca="false">IF(N139&gt;1,"YES","no")</f>
        <v>no</v>
      </c>
    </row>
    <row r="140" customFormat="false" ht="15" hidden="false" customHeight="false" outlineLevel="0" collapsed="false">
      <c r="A140" s="4" t="s">
        <v>337</v>
      </c>
      <c r="B140" s="4"/>
      <c r="C140" s="4" t="s">
        <v>72</v>
      </c>
      <c r="D140" s="8" t="n">
        <v>187.1077</v>
      </c>
      <c r="E140" s="9" t="n">
        <v>9.366</v>
      </c>
      <c r="F140" s="10" t="n">
        <v>1200384.97244608</v>
      </c>
      <c r="G140" s="10" t="n">
        <v>421419.093270845</v>
      </c>
      <c r="H140" s="10" t="n">
        <v>2244780.80734487</v>
      </c>
      <c r="I140" s="10" t="n">
        <v>1192186.31568808</v>
      </c>
      <c r="J140" s="10" t="n">
        <v>1675110.35194553</v>
      </c>
      <c r="K140" s="11" t="n">
        <v>1.87005074111398</v>
      </c>
      <c r="L140" s="11" t="n">
        <v>0.90307741608102</v>
      </c>
      <c r="M140" s="11" t="n">
        <v>0.558178334069329</v>
      </c>
      <c r="N140" s="11" t="n">
        <v>0.268263433155885</v>
      </c>
      <c r="O140" s="12" t="n">
        <v>0.123301573928393</v>
      </c>
      <c r="P140" s="12" t="n">
        <v>0.513878605264234</v>
      </c>
      <c r="Q140" s="4" t="n">
        <f aca="false">RANK(N140,$N$7:$N$307,0)</f>
        <v>134</v>
      </c>
      <c r="R140" s="4" t="n">
        <f aca="false">RANK(O140,$O$7:$O$307,1)</f>
        <v>68</v>
      </c>
      <c r="S140" s="4" t="n">
        <f aca="false">RANK(J140,$J$7:$J$307,0)</f>
        <v>188</v>
      </c>
      <c r="T140" s="4" t="str">
        <f aca="false">IF(O140&lt;0.05,"YES","no")</f>
        <v>no</v>
      </c>
      <c r="U140" s="4" t="str">
        <f aca="false">IF(P140&lt;0.05,"YES","no")</f>
        <v>no</v>
      </c>
      <c r="V140" s="4" t="str">
        <f aca="false">IF(N140&gt;1,"YES","no")</f>
        <v>no</v>
      </c>
    </row>
    <row r="141" customFormat="false" ht="15" hidden="false" customHeight="false" outlineLevel="0" collapsed="false">
      <c r="A141" s="4" t="s">
        <v>407</v>
      </c>
      <c r="B141" s="4"/>
      <c r="C141" s="4" t="s">
        <v>72</v>
      </c>
      <c r="D141" s="8" t="n">
        <v>316.24812</v>
      </c>
      <c r="E141" s="9" t="n">
        <v>6.846</v>
      </c>
      <c r="F141" s="10" t="n">
        <v>3238477.93154934</v>
      </c>
      <c r="G141" s="10" t="n">
        <v>1531033.38849284</v>
      </c>
      <c r="H141" s="10" t="n">
        <v>1964661.99993111</v>
      </c>
      <c r="I141" s="10" t="n">
        <v>381739.6648296</v>
      </c>
      <c r="J141" s="10" t="n">
        <v>2659470.68990469</v>
      </c>
      <c r="K141" s="11" t="n">
        <v>0.606662154708952</v>
      </c>
      <c r="L141" s="11" t="n">
        <v>-0.721034780082722</v>
      </c>
      <c r="M141" s="11" t="n">
        <v>0.514330580613316</v>
      </c>
      <c r="N141" s="11" t="n">
        <v>0.263619900112571</v>
      </c>
      <c r="O141" s="12" t="n">
        <v>0.0991186046954443</v>
      </c>
      <c r="P141" s="12" t="n">
        <v>0.489093442841455</v>
      </c>
      <c r="Q141" s="4" t="n">
        <f aca="false">RANK(N141,$N$7:$N$307,0)</f>
        <v>135</v>
      </c>
      <c r="R141" s="4" t="n">
        <f aca="false">RANK(O141,$O$7:$O$307,1)</f>
        <v>61</v>
      </c>
      <c r="S141" s="4" t="n">
        <f aca="false">RANK(J141,$J$7:$J$307,0)</f>
        <v>161</v>
      </c>
      <c r="T141" s="4" t="str">
        <f aca="false">IF(O141&lt;0.05,"YES","no")</f>
        <v>no</v>
      </c>
      <c r="U141" s="4" t="str">
        <f aca="false">IF(P141&lt;0.05,"YES","no")</f>
        <v>no</v>
      </c>
      <c r="V141" s="4" t="str">
        <f aca="false">IF(N141&gt;1,"YES","no")</f>
        <v>no</v>
      </c>
    </row>
    <row r="142" customFormat="false" ht="15" hidden="false" customHeight="false" outlineLevel="0" collapsed="false">
      <c r="A142" s="4" t="s">
        <v>112</v>
      </c>
      <c r="B142" s="4" t="s">
        <v>113</v>
      </c>
      <c r="C142" s="4" t="s">
        <v>72</v>
      </c>
      <c r="D142" s="8" t="n">
        <v>134.05998</v>
      </c>
      <c r="E142" s="9" t="n">
        <v>6.153</v>
      </c>
      <c r="F142" s="10" t="n">
        <v>2748319.94687679</v>
      </c>
      <c r="G142" s="10" t="n">
        <v>1107837.09447434</v>
      </c>
      <c r="H142" s="10" t="n">
        <v>3972531.00529718</v>
      </c>
      <c r="I142" s="10" t="n">
        <v>2129242.76102996</v>
      </c>
      <c r="J142" s="10" t="n">
        <v>3304779.51888606</v>
      </c>
      <c r="K142" s="11" t="n">
        <v>1.44543978942903</v>
      </c>
      <c r="L142" s="11" t="n">
        <v>0.531508513829599</v>
      </c>
      <c r="M142" s="11" t="n">
        <v>0.379645723611081</v>
      </c>
      <c r="N142" s="11" t="n">
        <v>0.257368907976019</v>
      </c>
      <c r="O142" s="12" t="n">
        <v>0.291274355427872</v>
      </c>
      <c r="P142" s="12" t="n">
        <v>0.610572911562579</v>
      </c>
      <c r="Q142" s="4" t="n">
        <f aca="false">RANK(N142,$N$7:$N$307,0)</f>
        <v>136</v>
      </c>
      <c r="R142" s="4" t="n">
        <f aca="false">RANK(O142,$O$7:$O$307,1)</f>
        <v>142</v>
      </c>
      <c r="S142" s="4" t="n">
        <f aca="false">RANK(J142,$J$7:$J$307,0)</f>
        <v>149</v>
      </c>
      <c r="T142" s="4" t="str">
        <f aca="false">IF(O142&lt;0.05,"YES","no")</f>
        <v>no</v>
      </c>
      <c r="U142" s="4" t="str">
        <f aca="false">IF(P142&lt;0.05,"YES","no")</f>
        <v>no</v>
      </c>
      <c r="V142" s="4" t="str">
        <f aca="false">IF(N142&gt;1,"YES","no")</f>
        <v>no</v>
      </c>
    </row>
    <row r="143" customFormat="false" ht="15" hidden="false" customHeight="false" outlineLevel="0" collapsed="false">
      <c r="A143" s="4" t="s">
        <v>160</v>
      </c>
      <c r="B143" s="4"/>
      <c r="C143" s="4" t="s">
        <v>61</v>
      </c>
      <c r="D143" s="8" t="n">
        <v>147.02994</v>
      </c>
      <c r="E143" s="9" t="n">
        <v>9.279</v>
      </c>
      <c r="F143" s="10" t="n">
        <v>8753165.21552313</v>
      </c>
      <c r="G143" s="10" t="n">
        <v>4682955.1196803</v>
      </c>
      <c r="H143" s="10" t="n">
        <v>8609955.5706387</v>
      </c>
      <c r="I143" s="10" t="n">
        <v>4202038.66390223</v>
      </c>
      <c r="J143" s="10" t="n">
        <v>8688069.92239384</v>
      </c>
      <c r="K143" s="11" t="n">
        <v>0.983639101815369</v>
      </c>
      <c r="L143" s="11" t="n">
        <v>-0.0237990085159365</v>
      </c>
      <c r="M143" s="11" t="n">
        <v>0.0176115179685188</v>
      </c>
      <c r="N143" s="11" t="n">
        <v>0.257002500522607</v>
      </c>
      <c r="O143" s="12" t="n">
        <v>0.958573378815556</v>
      </c>
      <c r="P143" s="12" t="n">
        <v>0.97198159172614</v>
      </c>
      <c r="Q143" s="4" t="n">
        <f aca="false">RANK(N143,$N$7:$N$307,0)</f>
        <v>137</v>
      </c>
      <c r="R143" s="4" t="n">
        <f aca="false">RANK(O143,$O$7:$O$307,1)</f>
        <v>296</v>
      </c>
      <c r="S143" s="4" t="n">
        <f aca="false">RANK(J143,$J$7:$J$307,0)</f>
        <v>104</v>
      </c>
      <c r="T143" s="4" t="str">
        <f aca="false">IF(O143&lt;0.05,"YES","no")</f>
        <v>no</v>
      </c>
      <c r="U143" s="4" t="str">
        <f aca="false">IF(P143&lt;0.05,"YES","no")</f>
        <v>no</v>
      </c>
      <c r="V143" s="4" t="str">
        <f aca="false">IF(N143&gt;1,"YES","no")</f>
        <v>no</v>
      </c>
    </row>
    <row r="144" customFormat="false" ht="15" hidden="false" customHeight="false" outlineLevel="0" collapsed="false">
      <c r="A144" s="4" t="s">
        <v>409</v>
      </c>
      <c r="B144" s="4"/>
      <c r="C144" s="4" t="s">
        <v>72</v>
      </c>
      <c r="D144" s="8" t="n">
        <v>352.16568</v>
      </c>
      <c r="E144" s="9" t="n">
        <v>4.718</v>
      </c>
      <c r="F144" s="10" t="n">
        <v>443616.904274431</v>
      </c>
      <c r="G144" s="10" t="n">
        <v>217528.037868065</v>
      </c>
      <c r="H144" s="10" t="n">
        <v>1216286.32971802</v>
      </c>
      <c r="I144" s="10" t="n">
        <v>444006.217275446</v>
      </c>
      <c r="J144" s="10" t="n">
        <v>794830.279476061</v>
      </c>
      <c r="K144" s="11" t="n">
        <v>2.74174928412015</v>
      </c>
      <c r="L144" s="11" t="n">
        <v>1.45509665168098</v>
      </c>
      <c r="M144" s="11" t="n">
        <v>0.783353020257071</v>
      </c>
      <c r="N144" s="11" t="n">
        <v>0.256738284217282</v>
      </c>
      <c r="O144" s="12" t="n">
        <v>0.01359095459284</v>
      </c>
      <c r="P144" s="12" t="n">
        <v>0.269700284916156</v>
      </c>
      <c r="Q144" s="4" t="n">
        <f aca="false">RANK(N144,$N$7:$N$307,0)</f>
        <v>138</v>
      </c>
      <c r="R144" s="4" t="n">
        <f aca="false">RANK(O144,$O$7:$O$307,1)</f>
        <v>14</v>
      </c>
      <c r="S144" s="4" t="n">
        <f aca="false">RANK(J144,$J$7:$J$307,0)</f>
        <v>227</v>
      </c>
      <c r="T144" s="4" t="str">
        <f aca="false">IF(O144&lt;0.05,"YES","no")</f>
        <v>YES</v>
      </c>
      <c r="U144" s="4" t="str">
        <f aca="false">IF(P144&lt;0.05,"YES","no")</f>
        <v>no</v>
      </c>
      <c r="V144" s="4" t="str">
        <f aca="false">IF(N144&gt;1,"YES","no")</f>
        <v>no</v>
      </c>
    </row>
    <row r="145" customFormat="false" ht="15" hidden="false" customHeight="false" outlineLevel="0" collapsed="false">
      <c r="A145" s="4" t="s">
        <v>359</v>
      </c>
      <c r="B145" s="4"/>
      <c r="C145" s="4" t="s">
        <v>72</v>
      </c>
      <c r="D145" s="8" t="n">
        <v>588.07542</v>
      </c>
      <c r="E145" s="9" t="n">
        <v>9.154</v>
      </c>
      <c r="F145" s="10" t="n">
        <v>405181.329516669</v>
      </c>
      <c r="G145" s="10" t="n">
        <v>223742.87255435</v>
      </c>
      <c r="H145" s="10" t="n">
        <v>1306810.16483855</v>
      </c>
      <c r="I145" s="10" t="n">
        <v>835224.115014259</v>
      </c>
      <c r="J145" s="10" t="n">
        <v>815012.61829934</v>
      </c>
      <c r="K145" s="11" t="n">
        <v>3.22524773389092</v>
      </c>
      <c r="L145" s="11" t="n">
        <v>1.68940997936667</v>
      </c>
      <c r="M145" s="11" t="n">
        <v>0.649367001660755</v>
      </c>
      <c r="N145" s="11" t="n">
        <v>0.256295862947994</v>
      </c>
      <c r="O145" s="12" t="n">
        <v>0.0719935297030735</v>
      </c>
      <c r="P145" s="12" t="n">
        <v>0.473393770420731</v>
      </c>
      <c r="Q145" s="4" t="n">
        <f aca="false">RANK(N145,$N$7:$N$307,0)</f>
        <v>139</v>
      </c>
      <c r="R145" s="4" t="n">
        <f aca="false">RANK(O145,$O$7:$O$307,1)</f>
        <v>45</v>
      </c>
      <c r="S145" s="4" t="n">
        <f aca="false">RANK(J145,$J$7:$J$307,0)</f>
        <v>226</v>
      </c>
      <c r="T145" s="4" t="str">
        <f aca="false">IF(O145&lt;0.05,"YES","no")</f>
        <v>no</v>
      </c>
      <c r="U145" s="4" t="str">
        <f aca="false">IF(P145&lt;0.05,"YES","no")</f>
        <v>no</v>
      </c>
      <c r="V145" s="4" t="str">
        <f aca="false">IF(N145&gt;1,"YES","no")</f>
        <v>no</v>
      </c>
    </row>
    <row r="146" customFormat="false" ht="15" hidden="false" customHeight="false" outlineLevel="0" collapsed="false">
      <c r="A146" s="4" t="s">
        <v>169</v>
      </c>
      <c r="B146" s="4"/>
      <c r="C146" s="4" t="s">
        <v>72</v>
      </c>
      <c r="D146" s="8" t="n">
        <v>102.05488</v>
      </c>
      <c r="E146" s="9" t="n">
        <v>10.87</v>
      </c>
      <c r="F146" s="10" t="n">
        <v>6302725.48717086</v>
      </c>
      <c r="G146" s="10" t="n">
        <v>1708600.6115898</v>
      </c>
      <c r="H146" s="10" t="n">
        <v>7631460.3197964</v>
      </c>
      <c r="I146" s="10" t="n">
        <v>2413767.41988672</v>
      </c>
      <c r="J146" s="10" t="n">
        <v>6906695.86563701</v>
      </c>
      <c r="K146" s="11" t="n">
        <v>1.21081908696962</v>
      </c>
      <c r="L146" s="11" t="n">
        <v>0.275983322646235</v>
      </c>
      <c r="M146" s="11" t="n">
        <v>0.335740237099892</v>
      </c>
      <c r="N146" s="11" t="n">
        <v>0.252660395668674</v>
      </c>
      <c r="O146" s="12" t="n">
        <v>0.335342450318489</v>
      </c>
      <c r="P146" s="12" t="n">
        <v>0.618867706104994</v>
      </c>
      <c r="Q146" s="4" t="n">
        <f aca="false">RANK(N146,$N$7:$N$307,0)</f>
        <v>140</v>
      </c>
      <c r="R146" s="4" t="n">
        <f aca="false">RANK(O146,$O$7:$O$307,1)</f>
        <v>162</v>
      </c>
      <c r="S146" s="4" t="n">
        <f aca="false">RANK(J146,$J$7:$J$307,0)</f>
        <v>117</v>
      </c>
      <c r="T146" s="4" t="str">
        <f aca="false">IF(O146&lt;0.05,"YES","no")</f>
        <v>no</v>
      </c>
      <c r="U146" s="4" t="str">
        <f aca="false">IF(P146&lt;0.05,"YES","no")</f>
        <v>no</v>
      </c>
      <c r="V146" s="4" t="str">
        <f aca="false">IF(N146&gt;1,"YES","no")</f>
        <v>no</v>
      </c>
    </row>
    <row r="147" customFormat="false" ht="15" hidden="false" customHeight="false" outlineLevel="0" collapsed="false">
      <c r="A147" s="4" t="s">
        <v>360</v>
      </c>
      <c r="B147" s="4"/>
      <c r="C147" s="4" t="s">
        <v>72</v>
      </c>
      <c r="D147" s="8" t="n">
        <v>203.13891</v>
      </c>
      <c r="E147" s="9" t="n">
        <v>5.031</v>
      </c>
      <c r="F147" s="10" t="n">
        <v>799124.216588763</v>
      </c>
      <c r="G147" s="10" t="n">
        <v>428443.080557667</v>
      </c>
      <c r="H147" s="10" t="n">
        <v>1684750.24097128</v>
      </c>
      <c r="I147" s="10" t="n">
        <v>799910.280407169</v>
      </c>
      <c r="J147" s="10" t="n">
        <v>1201681.500399</v>
      </c>
      <c r="K147" s="11" t="n">
        <v>2.10824575954287</v>
      </c>
      <c r="L147" s="11" t="n">
        <v>1.07604305265233</v>
      </c>
      <c r="M147" s="11" t="n">
        <v>0.617146363613032</v>
      </c>
      <c r="N147" s="11" t="n">
        <v>0.250319690916826</v>
      </c>
      <c r="O147" s="12" t="n">
        <v>0.0687808690555583</v>
      </c>
      <c r="P147" s="12" t="n">
        <v>0.473393770420731</v>
      </c>
      <c r="Q147" s="4" t="n">
        <f aca="false">RANK(N147,$N$7:$N$307,0)</f>
        <v>141</v>
      </c>
      <c r="R147" s="4" t="n">
        <f aca="false">RANK(O147,$O$7:$O$307,1)</f>
        <v>41</v>
      </c>
      <c r="S147" s="4" t="n">
        <f aca="false">RANK(J147,$J$7:$J$307,0)</f>
        <v>205</v>
      </c>
      <c r="T147" s="4" t="str">
        <f aca="false">IF(O147&lt;0.05,"YES","no")</f>
        <v>no</v>
      </c>
      <c r="U147" s="4" t="str">
        <f aca="false">IF(P147&lt;0.05,"YES","no")</f>
        <v>no</v>
      </c>
      <c r="V147" s="4" t="str">
        <f aca="false">IF(N147&gt;1,"YES","no")</f>
        <v>no</v>
      </c>
    </row>
    <row r="148" customFormat="false" ht="15" hidden="false" customHeight="false" outlineLevel="0" collapsed="false">
      <c r="A148" s="4" t="s">
        <v>139</v>
      </c>
      <c r="B148" s="4"/>
      <c r="C148" s="4" t="s">
        <v>61</v>
      </c>
      <c r="D148" s="8" t="n">
        <v>174.04077</v>
      </c>
      <c r="E148" s="9" t="n">
        <v>9.006</v>
      </c>
      <c r="F148" s="10" t="n">
        <v>13098226.930548</v>
      </c>
      <c r="G148" s="10" t="n">
        <v>3382694.07676983</v>
      </c>
      <c r="H148" s="10" t="n">
        <v>14961796.3296453</v>
      </c>
      <c r="I148" s="10" t="n">
        <v>3125079.21618569</v>
      </c>
      <c r="J148" s="10" t="n">
        <v>13945303.9301377</v>
      </c>
      <c r="K148" s="11" t="n">
        <v>1.14227646298837</v>
      </c>
      <c r="L148" s="11" t="n">
        <v>0.191911865684774</v>
      </c>
      <c r="M148" s="11" t="n">
        <v>0.2992757453637</v>
      </c>
      <c r="N148" s="11" t="n">
        <v>0.246155324791668</v>
      </c>
      <c r="O148" s="12" t="n">
        <v>0.368019178400228</v>
      </c>
      <c r="P148" s="12" t="n">
        <v>0.625840523720162</v>
      </c>
      <c r="Q148" s="4" t="n">
        <f aca="false">RANK(N148,$N$7:$N$307,0)</f>
        <v>142</v>
      </c>
      <c r="R148" s="4" t="n">
        <f aca="false">RANK(O148,$O$7:$O$307,1)</f>
        <v>177</v>
      </c>
      <c r="S148" s="4" t="n">
        <f aca="false">RANK(J148,$J$7:$J$307,0)</f>
        <v>92</v>
      </c>
      <c r="T148" s="4" t="str">
        <f aca="false">IF(O148&lt;0.05,"YES","no")</f>
        <v>no</v>
      </c>
      <c r="U148" s="4" t="str">
        <f aca="false">IF(P148&lt;0.05,"YES","no")</f>
        <v>no</v>
      </c>
      <c r="V148" s="4" t="str">
        <f aca="false">IF(N148&gt;1,"YES","no")</f>
        <v>no</v>
      </c>
    </row>
    <row r="149" customFormat="false" ht="15" hidden="false" customHeight="false" outlineLevel="0" collapsed="false">
      <c r="A149" s="4" t="s">
        <v>320</v>
      </c>
      <c r="B149" s="4"/>
      <c r="C149" s="4" t="s">
        <v>61</v>
      </c>
      <c r="D149" s="8" t="n">
        <v>190.05434</v>
      </c>
      <c r="E149" s="9" t="n">
        <v>5.023</v>
      </c>
      <c r="F149" s="10" t="n">
        <v>643751.906997827</v>
      </c>
      <c r="G149" s="10" t="n">
        <v>345983.579793762</v>
      </c>
      <c r="H149" s="10" t="n">
        <v>1476111.88140301</v>
      </c>
      <c r="I149" s="10" t="n">
        <v>723551.209361821</v>
      </c>
      <c r="J149" s="10" t="n">
        <v>1022097.34990928</v>
      </c>
      <c r="K149" s="11" t="n">
        <v>2.29298253777134</v>
      </c>
      <c r="L149" s="11" t="n">
        <v>1.19722536810378</v>
      </c>
      <c r="M149" s="11" t="n">
        <v>0.642156674955134</v>
      </c>
      <c r="N149" s="11" t="n">
        <v>0.245992289825792</v>
      </c>
      <c r="O149" s="12" t="n">
        <v>0.0602298314535925</v>
      </c>
      <c r="P149" s="12" t="n">
        <v>0.473393770420731</v>
      </c>
      <c r="Q149" s="4" t="n">
        <f aca="false">RANK(N149,$N$7:$N$307,0)</f>
        <v>143</v>
      </c>
      <c r="R149" s="4" t="n">
        <f aca="false">RANK(O149,$O$7:$O$307,1)</f>
        <v>37</v>
      </c>
      <c r="S149" s="4" t="n">
        <f aca="false">RANK(J149,$J$7:$J$307,0)</f>
        <v>216</v>
      </c>
      <c r="T149" s="4" t="str">
        <f aca="false">IF(O149&lt;0.05,"YES","no")</f>
        <v>no</v>
      </c>
      <c r="U149" s="4" t="str">
        <f aca="false">IF(P149&lt;0.05,"YES","no")</f>
        <v>no</v>
      </c>
      <c r="V149" s="4" t="str">
        <f aca="false">IF(N149&gt;1,"YES","no")</f>
        <v>no</v>
      </c>
    </row>
    <row r="150" customFormat="false" ht="15" hidden="false" customHeight="false" outlineLevel="0" collapsed="false">
      <c r="A150" s="4" t="s">
        <v>341</v>
      </c>
      <c r="B150" s="4"/>
      <c r="C150" s="4" t="s">
        <v>72</v>
      </c>
      <c r="D150" s="8" t="n">
        <v>223.1076</v>
      </c>
      <c r="E150" s="9" t="n">
        <v>6.888</v>
      </c>
      <c r="F150" s="10" t="n">
        <v>1510034.7070029</v>
      </c>
      <c r="G150" s="10" t="n">
        <v>719025.780745504</v>
      </c>
      <c r="H150" s="10" t="n">
        <v>2484828.26560472</v>
      </c>
      <c r="I150" s="10" t="n">
        <v>1093874.85593616</v>
      </c>
      <c r="J150" s="10" t="n">
        <v>1953122.68818555</v>
      </c>
      <c r="K150" s="11" t="n">
        <v>1.64554381040458</v>
      </c>
      <c r="L150" s="11" t="n">
        <v>0.718564436800787</v>
      </c>
      <c r="M150" s="11" t="n">
        <v>0.510020003211216</v>
      </c>
      <c r="N150" s="11" t="n">
        <v>0.243148260808066</v>
      </c>
      <c r="O150" s="12" t="n">
        <v>0.133160135797864</v>
      </c>
      <c r="P150" s="12" t="n">
        <v>0.513878605264234</v>
      </c>
      <c r="Q150" s="4" t="n">
        <f aca="false">RANK(N150,$N$7:$N$307,0)</f>
        <v>144</v>
      </c>
      <c r="R150" s="4" t="n">
        <f aca="false">RANK(O150,$O$7:$O$307,1)</f>
        <v>73</v>
      </c>
      <c r="S150" s="4" t="n">
        <f aca="false">RANK(J150,$J$7:$J$307,0)</f>
        <v>175</v>
      </c>
      <c r="T150" s="4" t="str">
        <f aca="false">IF(O150&lt;0.05,"YES","no")</f>
        <v>no</v>
      </c>
      <c r="U150" s="4" t="str">
        <f aca="false">IF(P150&lt;0.05,"YES","no")</f>
        <v>no</v>
      </c>
      <c r="V150" s="4" t="str">
        <f aca="false">IF(N150&gt;1,"YES","no")</f>
        <v>no</v>
      </c>
    </row>
    <row r="151" customFormat="false" ht="15" hidden="false" customHeight="false" outlineLevel="0" collapsed="false">
      <c r="A151" s="4" t="s">
        <v>370</v>
      </c>
      <c r="B151" s="4"/>
      <c r="C151" s="4" t="s">
        <v>72</v>
      </c>
      <c r="D151" s="8" t="n">
        <v>294.14495</v>
      </c>
      <c r="E151" s="9" t="n">
        <v>6.854</v>
      </c>
      <c r="F151" s="10" t="n">
        <v>383296.890154157</v>
      </c>
      <c r="G151" s="10" t="n">
        <v>200031.806388007</v>
      </c>
      <c r="H151" s="10" t="n">
        <v>1019455.11835121</v>
      </c>
      <c r="I151" s="10" t="n">
        <v>246745.522342977</v>
      </c>
      <c r="J151" s="10" t="n">
        <v>672459.721152819</v>
      </c>
      <c r="K151" s="11" t="n">
        <v>2.65970099037642</v>
      </c>
      <c r="L151" s="11" t="n">
        <v>1.41126406379092</v>
      </c>
      <c r="M151" s="11" t="n">
        <v>0.844578063320427</v>
      </c>
      <c r="N151" s="11" t="n">
        <v>0.238618623720722</v>
      </c>
      <c r="O151" s="12" t="n">
        <v>0.00184029703323617</v>
      </c>
      <c r="P151" s="12" t="n">
        <v>0.147180205171976</v>
      </c>
      <c r="Q151" s="4" t="n">
        <f aca="false">RANK(N151,$N$7:$N$307,0)</f>
        <v>145</v>
      </c>
      <c r="R151" s="4" t="n">
        <f aca="false">RANK(O151,$O$7:$O$307,1)</f>
        <v>3</v>
      </c>
      <c r="S151" s="4" t="n">
        <f aca="false">RANK(J151,$J$7:$J$307,0)</f>
        <v>234</v>
      </c>
      <c r="T151" s="4" t="str">
        <f aca="false">IF(O151&lt;0.05,"YES","no")</f>
        <v>YES</v>
      </c>
      <c r="U151" s="4" t="str">
        <f aca="false">IF(P151&lt;0.05,"YES","no")</f>
        <v>no</v>
      </c>
      <c r="V151" s="4" t="str">
        <f aca="false">IF(N151&gt;1,"YES","no")</f>
        <v>no</v>
      </c>
    </row>
    <row r="152" customFormat="false" ht="15" hidden="false" customHeight="false" outlineLevel="0" collapsed="false">
      <c r="A152" s="4" t="s">
        <v>292</v>
      </c>
      <c r="B152" s="4"/>
      <c r="C152" s="4" t="s">
        <v>72</v>
      </c>
      <c r="D152" s="8" t="n">
        <v>233.14949</v>
      </c>
      <c r="E152" s="9" t="n">
        <v>6.823</v>
      </c>
      <c r="F152" s="10" t="n">
        <v>1412251.49548757</v>
      </c>
      <c r="G152" s="10" t="n">
        <v>832149.096370841</v>
      </c>
      <c r="H152" s="10" t="n">
        <v>2355153.26624247</v>
      </c>
      <c r="I152" s="10" t="n">
        <v>946278.686122906</v>
      </c>
      <c r="J152" s="10" t="n">
        <v>1840843.20946707</v>
      </c>
      <c r="K152" s="11" t="n">
        <v>1.66765853940864</v>
      </c>
      <c r="L152" s="11" t="n">
        <v>0.737823920717944</v>
      </c>
      <c r="M152" s="11" t="n">
        <v>0.50603673117645</v>
      </c>
      <c r="N152" s="11" t="n">
        <v>0.237309263305188</v>
      </c>
      <c r="O152" s="12" t="n">
        <v>0.119949294667846</v>
      </c>
      <c r="P152" s="12" t="n">
        <v>0.513878605264234</v>
      </c>
      <c r="Q152" s="4" t="n">
        <f aca="false">RANK(N152,$N$7:$N$307,0)</f>
        <v>146</v>
      </c>
      <c r="R152" s="4" t="n">
        <f aca="false">RANK(O152,$O$7:$O$307,1)</f>
        <v>67</v>
      </c>
      <c r="S152" s="4" t="n">
        <f aca="false">RANK(J152,$J$7:$J$307,0)</f>
        <v>182</v>
      </c>
      <c r="T152" s="4" t="str">
        <f aca="false">IF(O152&lt;0.05,"YES","no")</f>
        <v>no</v>
      </c>
      <c r="U152" s="4" t="str">
        <f aca="false">IF(P152&lt;0.05,"YES","no")</f>
        <v>no</v>
      </c>
      <c r="V152" s="4" t="str">
        <f aca="false">IF(N152&gt;1,"YES","no")</f>
        <v>no</v>
      </c>
    </row>
    <row r="153" customFormat="false" ht="15" hidden="false" customHeight="false" outlineLevel="0" collapsed="false">
      <c r="A153" s="4" t="s">
        <v>390</v>
      </c>
      <c r="B153" s="4" t="s">
        <v>391</v>
      </c>
      <c r="C153" s="4" t="s">
        <v>72</v>
      </c>
      <c r="D153" s="8" t="n">
        <v>348.07055</v>
      </c>
      <c r="E153" s="9" t="n">
        <v>7.787</v>
      </c>
      <c r="F153" s="10" t="n">
        <v>1729866.00256007</v>
      </c>
      <c r="G153" s="10" t="n">
        <v>793676.079672783</v>
      </c>
      <c r="H153" s="10" t="n">
        <v>2687025.52709305</v>
      </c>
      <c r="I153" s="10" t="n">
        <v>1136455.15636121</v>
      </c>
      <c r="J153" s="10" t="n">
        <v>2164938.51371142</v>
      </c>
      <c r="K153" s="11" t="n">
        <v>1.55331425851278</v>
      </c>
      <c r="L153" s="11" t="n">
        <v>0.635349737859262</v>
      </c>
      <c r="M153" s="11" t="n">
        <v>0.480671914721211</v>
      </c>
      <c r="N153" s="11" t="n">
        <v>0.236955697536362</v>
      </c>
      <c r="O153" s="12" t="n">
        <v>0.156373618759444</v>
      </c>
      <c r="P153" s="12" t="n">
        <v>0.541016772949342</v>
      </c>
      <c r="Q153" s="4" t="n">
        <f aca="false">RANK(N153,$N$7:$N$307,0)</f>
        <v>147</v>
      </c>
      <c r="R153" s="4" t="n">
        <f aca="false">RANK(O153,$O$7:$O$307,1)</f>
        <v>87</v>
      </c>
      <c r="S153" s="4" t="n">
        <f aca="false">RANK(J153,$J$7:$J$307,0)</f>
        <v>170</v>
      </c>
      <c r="T153" s="4" t="str">
        <f aca="false">IF(O153&lt;0.05,"YES","no")</f>
        <v>no</v>
      </c>
      <c r="U153" s="4" t="str">
        <f aca="false">IF(P153&lt;0.05,"YES","no")</f>
        <v>no</v>
      </c>
      <c r="V153" s="4" t="str">
        <f aca="false">IF(N153&gt;1,"YES","no")</f>
        <v>no</v>
      </c>
    </row>
    <row r="154" customFormat="false" ht="15" hidden="false" customHeight="false" outlineLevel="0" collapsed="false">
      <c r="A154" s="4" t="s">
        <v>245</v>
      </c>
      <c r="B154" s="4"/>
      <c r="C154" s="4" t="s">
        <v>61</v>
      </c>
      <c r="D154" s="8" t="n">
        <v>191.01976</v>
      </c>
      <c r="E154" s="9" t="n">
        <v>11.158</v>
      </c>
      <c r="F154" s="10" t="n">
        <v>4111539.07106849</v>
      </c>
      <c r="G154" s="10" t="n">
        <v>1090821.96456351</v>
      </c>
      <c r="H154" s="10" t="n">
        <v>3869845.00500429</v>
      </c>
      <c r="I154" s="10" t="n">
        <v>2717459.73305372</v>
      </c>
      <c r="J154" s="10" t="n">
        <v>4001678.1319484</v>
      </c>
      <c r="K154" s="11" t="n">
        <v>0.941215670850627</v>
      </c>
      <c r="L154" s="11" t="n">
        <v>-0.0874027538509951</v>
      </c>
      <c r="M154" s="11" t="n">
        <v>0.0668525526954812</v>
      </c>
      <c r="N154" s="11" t="n">
        <v>0.233804714217663</v>
      </c>
      <c r="O154" s="12" t="n">
        <v>0.859105946420163</v>
      </c>
      <c r="P154" s="12" t="n">
        <v>0.913748727464555</v>
      </c>
      <c r="Q154" s="4" t="n">
        <f aca="false">RANK(N154,$N$7:$N$307,0)</f>
        <v>148</v>
      </c>
      <c r="R154" s="4" t="n">
        <f aca="false">RANK(O154,$O$7:$O$307,1)</f>
        <v>283</v>
      </c>
      <c r="S154" s="4" t="n">
        <f aca="false">RANK(J154,$J$7:$J$307,0)</f>
        <v>139</v>
      </c>
      <c r="T154" s="4" t="str">
        <f aca="false">IF(O154&lt;0.05,"YES","no")</f>
        <v>no</v>
      </c>
      <c r="U154" s="4" t="str">
        <f aca="false">IF(P154&lt;0.05,"YES","no")</f>
        <v>no</v>
      </c>
      <c r="V154" s="4" t="str">
        <f aca="false">IF(N154&gt;1,"YES","no")</f>
        <v>no</v>
      </c>
    </row>
    <row r="155" customFormat="false" ht="15" hidden="false" customHeight="false" outlineLevel="0" collapsed="false">
      <c r="A155" s="4" t="s">
        <v>241</v>
      </c>
      <c r="B155" s="4"/>
      <c r="C155" s="4" t="s">
        <v>72</v>
      </c>
      <c r="D155" s="8" t="n">
        <v>189.14845</v>
      </c>
      <c r="E155" s="9" t="n">
        <v>5.023</v>
      </c>
      <c r="F155" s="10" t="n">
        <v>1471810.27526024</v>
      </c>
      <c r="G155" s="10" t="n">
        <v>995205.522807378</v>
      </c>
      <c r="H155" s="10" t="n">
        <v>2493914.51725849</v>
      </c>
      <c r="I155" s="10" t="n">
        <v>1244900.82305584</v>
      </c>
      <c r="J155" s="10" t="n">
        <v>1936403.11253217</v>
      </c>
      <c r="K155" s="11" t="n">
        <v>1.69445380235406</v>
      </c>
      <c r="L155" s="11" t="n">
        <v>0.760820303671564</v>
      </c>
      <c r="M155" s="11" t="n">
        <v>0.451116156040021</v>
      </c>
      <c r="N155" s="11" t="n">
        <v>0.233672657044332</v>
      </c>
      <c r="O155" s="12" t="n">
        <v>0.178024328684555</v>
      </c>
      <c r="P155" s="12" t="n">
        <v>0.545793274011047</v>
      </c>
      <c r="Q155" s="4" t="n">
        <f aca="false">RANK(N155,$N$7:$N$307,0)</f>
        <v>149</v>
      </c>
      <c r="R155" s="4" t="n">
        <f aca="false">RANK(O155,$O$7:$O$307,1)</f>
        <v>96</v>
      </c>
      <c r="S155" s="4" t="n">
        <f aca="false">RANK(J155,$J$7:$J$307,0)</f>
        <v>177</v>
      </c>
      <c r="T155" s="4" t="str">
        <f aca="false">IF(O155&lt;0.05,"YES","no")</f>
        <v>no</v>
      </c>
      <c r="U155" s="4" t="str">
        <f aca="false">IF(P155&lt;0.05,"YES","no")</f>
        <v>no</v>
      </c>
      <c r="V155" s="4" t="str">
        <f aca="false">IF(N155&gt;1,"YES","no")</f>
        <v>no</v>
      </c>
    </row>
    <row r="156" customFormat="false" ht="15" hidden="false" customHeight="false" outlineLevel="0" collapsed="false">
      <c r="A156" s="4" t="s">
        <v>403</v>
      </c>
      <c r="B156" s="4"/>
      <c r="C156" s="4" t="s">
        <v>72</v>
      </c>
      <c r="D156" s="8" t="n">
        <v>159.07763</v>
      </c>
      <c r="E156" s="9" t="n">
        <v>8.636</v>
      </c>
      <c r="F156" s="10" t="n">
        <v>630088.198812878</v>
      </c>
      <c r="G156" s="10" t="n">
        <v>337694.205744769</v>
      </c>
      <c r="H156" s="10" t="n">
        <v>1378737.84794952</v>
      </c>
      <c r="I156" s="10" t="n">
        <v>714202.458278398</v>
      </c>
      <c r="J156" s="10" t="n">
        <v>970383.493874989</v>
      </c>
      <c r="K156" s="11" t="n">
        <v>2.18816643534531</v>
      </c>
      <c r="L156" s="11" t="n">
        <v>1.12972247593454</v>
      </c>
      <c r="M156" s="11" t="n">
        <v>0.607701057655084</v>
      </c>
      <c r="N156" s="11" t="n">
        <v>0.229045450547312</v>
      </c>
      <c r="O156" s="12" t="n">
        <v>0.0792520051362435</v>
      </c>
      <c r="P156" s="12" t="n">
        <v>0.483522015532954</v>
      </c>
      <c r="Q156" s="4" t="n">
        <f aca="false">RANK(N156,$N$7:$N$307,0)</f>
        <v>150</v>
      </c>
      <c r="R156" s="4" t="n">
        <f aca="false">RANK(O156,$O$7:$O$307,1)</f>
        <v>49</v>
      </c>
      <c r="S156" s="4" t="n">
        <f aca="false">RANK(J156,$J$7:$J$307,0)</f>
        <v>217</v>
      </c>
      <c r="T156" s="4" t="str">
        <f aca="false">IF(O156&lt;0.05,"YES","no")</f>
        <v>no</v>
      </c>
      <c r="U156" s="4" t="str">
        <f aca="false">IF(P156&lt;0.05,"YES","no")</f>
        <v>no</v>
      </c>
      <c r="V156" s="4" t="str">
        <f aca="false">IF(N156&gt;1,"YES","no")</f>
        <v>no</v>
      </c>
    </row>
    <row r="157" customFormat="false" ht="15" hidden="false" customHeight="false" outlineLevel="0" collapsed="false">
      <c r="A157" s="4" t="s">
        <v>177</v>
      </c>
      <c r="B157" s="4"/>
      <c r="C157" s="4" t="s">
        <v>61</v>
      </c>
      <c r="D157" s="8" t="n">
        <v>135.08032</v>
      </c>
      <c r="E157" s="9" t="n">
        <v>4.066</v>
      </c>
      <c r="F157" s="10" t="n">
        <v>18769000.2278552</v>
      </c>
      <c r="G157" s="10" t="n">
        <v>3435846.39238057</v>
      </c>
      <c r="H157" s="10" t="n">
        <v>20954795.4221742</v>
      </c>
      <c r="I157" s="10" t="n">
        <v>7440675.28090087</v>
      </c>
      <c r="J157" s="10" t="n">
        <v>19762543.4980002</v>
      </c>
      <c r="K157" s="11" t="n">
        <v>1.11645773178025</v>
      </c>
      <c r="L157" s="11" t="n">
        <v>0.15892863288422</v>
      </c>
      <c r="M157" s="11" t="n">
        <v>0.210698955282861</v>
      </c>
      <c r="N157" s="11" t="n">
        <v>0.221216928813455</v>
      </c>
      <c r="O157" s="12" t="n">
        <v>0.569475738691995</v>
      </c>
      <c r="P157" s="12" t="n">
        <v>0.755119812098196</v>
      </c>
      <c r="Q157" s="4" t="n">
        <f aca="false">RANK(N157,$N$7:$N$307,0)</f>
        <v>151</v>
      </c>
      <c r="R157" s="4" t="n">
        <f aca="false">RANK(O157,$O$7:$O$307,1)</f>
        <v>227</v>
      </c>
      <c r="S157" s="4" t="n">
        <f aca="false">RANK(J157,$J$7:$J$307,0)</f>
        <v>76</v>
      </c>
      <c r="T157" s="4" t="str">
        <f aca="false">IF(O157&lt;0.05,"YES","no")</f>
        <v>no</v>
      </c>
      <c r="U157" s="4" t="str">
        <f aca="false">IF(P157&lt;0.05,"YES","no")</f>
        <v>no</v>
      </c>
      <c r="V157" s="4" t="str">
        <f aca="false">IF(N157&gt;1,"YES","no")</f>
        <v>no</v>
      </c>
    </row>
    <row r="158" customFormat="false" ht="15" hidden="false" customHeight="false" outlineLevel="0" collapsed="false">
      <c r="A158" s="4" t="s">
        <v>161</v>
      </c>
      <c r="B158" s="4"/>
      <c r="C158" s="4" t="s">
        <v>72</v>
      </c>
      <c r="D158" s="8" t="n">
        <v>129.05567</v>
      </c>
      <c r="E158" s="9" t="n">
        <v>4.632</v>
      </c>
      <c r="F158" s="10" t="n">
        <v>2332661.332388</v>
      </c>
      <c r="G158" s="10" t="n">
        <v>1275773.09746875</v>
      </c>
      <c r="H158" s="10" t="n">
        <v>1400005.86654128</v>
      </c>
      <c r="I158" s="10" t="n">
        <v>289192.064594251</v>
      </c>
      <c r="J158" s="10" t="n">
        <v>1908727.0297304</v>
      </c>
      <c r="K158" s="11" t="n">
        <v>0.600175364980248</v>
      </c>
      <c r="L158" s="11" t="n">
        <v>-0.736543992129484</v>
      </c>
      <c r="M158" s="11" t="n">
        <v>0.467707494970698</v>
      </c>
      <c r="N158" s="11" t="n">
        <v>0.21925785905518</v>
      </c>
      <c r="O158" s="12" t="n">
        <v>0.136334625026964</v>
      </c>
      <c r="P158" s="12" t="n">
        <v>0.513878605264234</v>
      </c>
      <c r="Q158" s="4" t="n">
        <f aca="false">RANK(N158,$N$7:$N$307,0)</f>
        <v>152</v>
      </c>
      <c r="R158" s="4" t="n">
        <f aca="false">RANK(O158,$O$7:$O$307,1)</f>
        <v>79</v>
      </c>
      <c r="S158" s="4" t="n">
        <f aca="false">RANK(J158,$J$7:$J$307,0)</f>
        <v>179</v>
      </c>
      <c r="T158" s="4" t="str">
        <f aca="false">IF(O158&lt;0.05,"YES","no")</f>
        <v>no</v>
      </c>
      <c r="U158" s="4" t="str">
        <f aca="false">IF(P158&lt;0.05,"YES","no")</f>
        <v>no</v>
      </c>
      <c r="V158" s="4" t="str">
        <f aca="false">IF(N158&gt;1,"YES","no")</f>
        <v>no</v>
      </c>
    </row>
    <row r="159" customFormat="false" ht="15" hidden="false" customHeight="false" outlineLevel="0" collapsed="false">
      <c r="A159" s="4" t="s">
        <v>384</v>
      </c>
      <c r="B159" s="4"/>
      <c r="C159" s="4" t="s">
        <v>72</v>
      </c>
      <c r="D159" s="8" t="n">
        <v>253.11819</v>
      </c>
      <c r="E159" s="9" t="n">
        <v>6.829</v>
      </c>
      <c r="F159" s="10" t="n">
        <v>826792.933426776</v>
      </c>
      <c r="G159" s="10" t="n">
        <v>675463.071953689</v>
      </c>
      <c r="H159" s="10" t="n">
        <v>1583798.68025141</v>
      </c>
      <c r="I159" s="10" t="n">
        <v>788648.449759378</v>
      </c>
      <c r="J159" s="10" t="n">
        <v>1170886.4547107</v>
      </c>
      <c r="K159" s="11" t="n">
        <v>1.91559290871912</v>
      </c>
      <c r="L159" s="11" t="n">
        <v>0.937791000023209</v>
      </c>
      <c r="M159" s="11" t="n">
        <v>0.496812988201315</v>
      </c>
      <c r="N159" s="11" t="n">
        <v>0.21667330674507</v>
      </c>
      <c r="O159" s="12" t="n">
        <v>0.129348596622853</v>
      </c>
      <c r="P159" s="12" t="n">
        <v>0.513878605264234</v>
      </c>
      <c r="Q159" s="4" t="n">
        <f aca="false">RANK(N159,$N$7:$N$307,0)</f>
        <v>153</v>
      </c>
      <c r="R159" s="4" t="n">
        <f aca="false">RANK(O159,$O$7:$O$307,1)</f>
        <v>71</v>
      </c>
      <c r="S159" s="4" t="n">
        <f aca="false">RANK(J159,$J$7:$J$307,0)</f>
        <v>208</v>
      </c>
      <c r="T159" s="4" t="str">
        <f aca="false">IF(O159&lt;0.05,"YES","no")</f>
        <v>no</v>
      </c>
      <c r="U159" s="4" t="str">
        <f aca="false">IF(P159&lt;0.05,"YES","no")</f>
        <v>no</v>
      </c>
      <c r="V159" s="4" t="str">
        <f aca="false">IF(N159&gt;1,"YES","no")</f>
        <v>no</v>
      </c>
    </row>
    <row r="160" customFormat="false" ht="15" hidden="false" customHeight="false" outlineLevel="0" collapsed="false">
      <c r="A160" s="4" t="s">
        <v>275</v>
      </c>
      <c r="B160" s="4"/>
      <c r="C160" s="4" t="s">
        <v>72</v>
      </c>
      <c r="D160" s="8" t="n">
        <v>324.05918</v>
      </c>
      <c r="E160" s="9" t="n">
        <v>10.414</v>
      </c>
      <c r="F160" s="10" t="n">
        <v>3525774.63919673</v>
      </c>
      <c r="G160" s="10" t="n">
        <v>868538.81252647</v>
      </c>
      <c r="H160" s="10" t="n">
        <v>2692921.62701046</v>
      </c>
      <c r="I160" s="10" t="n">
        <v>533351.635312296</v>
      </c>
      <c r="J160" s="10" t="n">
        <v>3147205.08820297</v>
      </c>
      <c r="K160" s="11" t="n">
        <v>0.763781552307035</v>
      </c>
      <c r="L160" s="11" t="n">
        <v>-0.388768020065145</v>
      </c>
      <c r="M160" s="11" t="n">
        <v>0.527391513662563</v>
      </c>
      <c r="N160" s="11" t="n">
        <v>0.21645345885944</v>
      </c>
      <c r="O160" s="12" t="n">
        <v>0.085414627138093</v>
      </c>
      <c r="P160" s="12" t="n">
        <v>0.483522015532954</v>
      </c>
      <c r="Q160" s="4" t="n">
        <f aca="false">RANK(N160,$N$7:$N$307,0)</f>
        <v>154</v>
      </c>
      <c r="R160" s="4" t="n">
        <f aca="false">RANK(O160,$O$7:$O$307,1)</f>
        <v>52</v>
      </c>
      <c r="S160" s="4" t="n">
        <f aca="false">RANK(J160,$J$7:$J$307,0)</f>
        <v>153</v>
      </c>
      <c r="T160" s="4" t="str">
        <f aca="false">IF(O160&lt;0.05,"YES","no")</f>
        <v>no</v>
      </c>
      <c r="U160" s="4" t="str">
        <f aca="false">IF(P160&lt;0.05,"YES","no")</f>
        <v>no</v>
      </c>
      <c r="V160" s="4" t="str">
        <f aca="false">IF(N160&gt;1,"YES","no")</f>
        <v>no</v>
      </c>
    </row>
    <row r="161" customFormat="false" ht="15" hidden="false" customHeight="false" outlineLevel="0" collapsed="false">
      <c r="A161" s="4" t="s">
        <v>119</v>
      </c>
      <c r="B161" s="4"/>
      <c r="C161" s="4" t="s">
        <v>61</v>
      </c>
      <c r="D161" s="8" t="n">
        <v>205.09714</v>
      </c>
      <c r="E161" s="9" t="n">
        <v>9.665</v>
      </c>
      <c r="F161" s="10" t="n">
        <v>18693641.2459415</v>
      </c>
      <c r="G161" s="10" t="n">
        <v>7364209.61638143</v>
      </c>
      <c r="H161" s="10" t="n">
        <v>17330552.7227245</v>
      </c>
      <c r="I161" s="10" t="n">
        <v>5888832.90415498</v>
      </c>
      <c r="J161" s="10" t="n">
        <v>18074055.5535702</v>
      </c>
      <c r="K161" s="11" t="n">
        <v>0.927082770805131</v>
      </c>
      <c r="L161" s="11" t="n">
        <v>-0.10922994514197</v>
      </c>
      <c r="M161" s="11" t="n">
        <v>0.110508685259295</v>
      </c>
      <c r="N161" s="11" t="n">
        <v>0.215859216872194</v>
      </c>
      <c r="O161" s="12" t="n">
        <v>0.74089853174217</v>
      </c>
      <c r="P161" s="12" t="n">
        <v>0.861044239592251</v>
      </c>
      <c r="Q161" s="4" t="n">
        <f aca="false">RANK(N161,$N$7:$N$307,0)</f>
        <v>155</v>
      </c>
      <c r="R161" s="4" t="n">
        <f aca="false">RANK(O161,$O$7:$O$307,1)</f>
        <v>259</v>
      </c>
      <c r="S161" s="4" t="n">
        <f aca="false">RANK(J161,$J$7:$J$307,0)</f>
        <v>80</v>
      </c>
      <c r="T161" s="4" t="str">
        <f aca="false">IF(O161&lt;0.05,"YES","no")</f>
        <v>no</v>
      </c>
      <c r="U161" s="4" t="str">
        <f aca="false">IF(P161&lt;0.05,"YES","no")</f>
        <v>no</v>
      </c>
      <c r="V161" s="4" t="str">
        <f aca="false">IF(N161&gt;1,"YES","no")</f>
        <v>no</v>
      </c>
    </row>
    <row r="162" customFormat="false" ht="15" hidden="false" customHeight="false" outlineLevel="0" collapsed="false">
      <c r="A162" s="4" t="s">
        <v>264</v>
      </c>
      <c r="B162" s="4"/>
      <c r="C162" s="4" t="s">
        <v>61</v>
      </c>
      <c r="D162" s="8" t="n">
        <v>166.97516</v>
      </c>
      <c r="E162" s="9" t="n">
        <v>10.547</v>
      </c>
      <c r="F162" s="10" t="n">
        <v>2789428.22762617</v>
      </c>
      <c r="G162" s="10" t="n">
        <v>1147461.77727256</v>
      </c>
      <c r="H162" s="10" t="n">
        <v>1915997.40372776</v>
      </c>
      <c r="I162" s="10" t="n">
        <v>497139.405513513</v>
      </c>
      <c r="J162" s="10" t="n">
        <v>2392414.21676326</v>
      </c>
      <c r="K162" s="11" t="n">
        <v>0.686878186988987</v>
      </c>
      <c r="L162" s="11" t="n">
        <v>-0.541873824969203</v>
      </c>
      <c r="M162" s="11" t="n">
        <v>0.464271980742802</v>
      </c>
      <c r="N162" s="11" t="n">
        <v>0.213382400861271</v>
      </c>
      <c r="O162" s="12" t="n">
        <v>0.135613793533604</v>
      </c>
      <c r="P162" s="12" t="n">
        <v>0.513878605264234</v>
      </c>
      <c r="Q162" s="4" t="n">
        <f aca="false">RANK(N162,$N$7:$N$307,0)</f>
        <v>156</v>
      </c>
      <c r="R162" s="4" t="n">
        <f aca="false">RANK(O162,$O$7:$O$307,1)</f>
        <v>78</v>
      </c>
      <c r="S162" s="4" t="n">
        <f aca="false">RANK(J162,$J$7:$J$307,0)</f>
        <v>165</v>
      </c>
      <c r="T162" s="4" t="str">
        <f aca="false">IF(O162&lt;0.05,"YES","no")</f>
        <v>no</v>
      </c>
      <c r="U162" s="4" t="str">
        <f aca="false">IF(P162&lt;0.05,"YES","no")</f>
        <v>no</v>
      </c>
      <c r="V162" s="4" t="str">
        <f aca="false">IF(N162&gt;1,"YES","no")</f>
        <v>no</v>
      </c>
    </row>
    <row r="163" customFormat="false" ht="15" hidden="false" customHeight="false" outlineLevel="0" collapsed="false">
      <c r="A163" s="4" t="s">
        <v>334</v>
      </c>
      <c r="B163" s="4"/>
      <c r="C163" s="4" t="s">
        <v>72</v>
      </c>
      <c r="D163" s="8" t="n">
        <v>425.04451</v>
      </c>
      <c r="E163" s="9" t="n">
        <v>12.572</v>
      </c>
      <c r="F163" s="10" t="n">
        <v>6597882.35374328</v>
      </c>
      <c r="G163" s="10" t="n">
        <v>1475497.54336226</v>
      </c>
      <c r="H163" s="10" t="n">
        <v>7832311.57975194</v>
      </c>
      <c r="I163" s="10" t="n">
        <v>2616371.55924668</v>
      </c>
      <c r="J163" s="10" t="n">
        <v>7158986.54738358</v>
      </c>
      <c r="K163" s="11" t="n">
        <v>1.18709476159549</v>
      </c>
      <c r="L163" s="11" t="n">
        <v>0.247435104842589</v>
      </c>
      <c r="M163" s="11" t="n">
        <v>0.312989789686119</v>
      </c>
      <c r="N163" s="11" t="n">
        <v>0.205398681070907</v>
      </c>
      <c r="O163" s="12" t="n">
        <v>0.384104803456587</v>
      </c>
      <c r="P163" s="12" t="n">
        <v>0.631541534538384</v>
      </c>
      <c r="Q163" s="4" t="n">
        <f aca="false">RANK(N163,$N$7:$N$307,0)</f>
        <v>157</v>
      </c>
      <c r="R163" s="4" t="n">
        <f aca="false">RANK(O163,$O$7:$O$307,1)</f>
        <v>182</v>
      </c>
      <c r="S163" s="4" t="n">
        <f aca="false">RANK(J163,$J$7:$J$307,0)</f>
        <v>116</v>
      </c>
      <c r="T163" s="4" t="str">
        <f aca="false">IF(O163&lt;0.05,"YES","no")</f>
        <v>no</v>
      </c>
      <c r="U163" s="4" t="str">
        <f aca="false">IF(P163&lt;0.05,"YES","no")</f>
        <v>no</v>
      </c>
      <c r="V163" s="4" t="str">
        <f aca="false">IF(N163&gt;1,"YES","no")</f>
        <v>no</v>
      </c>
    </row>
    <row r="164" customFormat="false" ht="15" hidden="false" customHeight="false" outlineLevel="0" collapsed="false">
      <c r="A164" s="4" t="s">
        <v>184</v>
      </c>
      <c r="B164" s="4"/>
      <c r="C164" s="4" t="s">
        <v>72</v>
      </c>
      <c r="D164" s="8" t="n">
        <v>106.08619</v>
      </c>
      <c r="E164" s="9" t="n">
        <v>6.88</v>
      </c>
      <c r="F164" s="10" t="n">
        <v>7276926.41937222</v>
      </c>
      <c r="G164" s="10" t="n">
        <v>1045980.37998906</v>
      </c>
      <c r="H164" s="10" t="n">
        <v>8179699.94042138</v>
      </c>
      <c r="I164" s="10" t="n">
        <v>2211396.62059283</v>
      </c>
      <c r="J164" s="10" t="n">
        <v>7687278.01984911</v>
      </c>
      <c r="K164" s="11" t="n">
        <v>1.12405972920736</v>
      </c>
      <c r="L164" s="11" t="n">
        <v>0.168718698140485</v>
      </c>
      <c r="M164" s="11" t="n">
        <v>0.28557906049743</v>
      </c>
      <c r="N164" s="11" t="n">
        <v>0.204631828834597</v>
      </c>
      <c r="O164" s="12" t="n">
        <v>0.437025767046627</v>
      </c>
      <c r="P164" s="12" t="n">
        <v>0.667739877568704</v>
      </c>
      <c r="Q164" s="4" t="n">
        <f aca="false">RANK(N164,$N$7:$N$307,0)</f>
        <v>158</v>
      </c>
      <c r="R164" s="4" t="n">
        <f aca="false">RANK(O164,$O$7:$O$307,1)</f>
        <v>197</v>
      </c>
      <c r="S164" s="4" t="n">
        <f aca="false">RANK(J164,$J$7:$J$307,0)</f>
        <v>111</v>
      </c>
      <c r="T164" s="4" t="str">
        <f aca="false">IF(O164&lt;0.05,"YES","no")</f>
        <v>no</v>
      </c>
      <c r="U164" s="4" t="str">
        <f aca="false">IF(P164&lt;0.05,"YES","no")</f>
        <v>no</v>
      </c>
      <c r="V164" s="4" t="str">
        <f aca="false">IF(N164&gt;1,"YES","no")</f>
        <v>no</v>
      </c>
    </row>
    <row r="165" customFormat="false" ht="15" hidden="false" customHeight="false" outlineLevel="0" collapsed="false">
      <c r="A165" s="4" t="s">
        <v>303</v>
      </c>
      <c r="B165" s="4"/>
      <c r="C165" s="4" t="s">
        <v>61</v>
      </c>
      <c r="D165" s="8" t="n">
        <v>484.97581</v>
      </c>
      <c r="E165" s="9" t="n">
        <v>10.423</v>
      </c>
      <c r="F165" s="10" t="n">
        <v>3220433.4756933</v>
      </c>
      <c r="G165" s="10" t="n">
        <v>1104300.30658827</v>
      </c>
      <c r="H165" s="10" t="n">
        <v>2813453.29921824</v>
      </c>
      <c r="I165" s="10" t="n">
        <v>3062518.44145198</v>
      </c>
      <c r="J165" s="10" t="n">
        <v>3035442.48638645</v>
      </c>
      <c r="K165" s="11" t="n">
        <v>0.873625653333066</v>
      </c>
      <c r="L165" s="11" t="n">
        <v>-0.194912874397674</v>
      </c>
      <c r="M165" s="11" t="n">
        <v>0.101248750985348</v>
      </c>
      <c r="N165" s="11" t="n">
        <v>0.203869841178319</v>
      </c>
      <c r="O165" s="12" t="n">
        <v>0.789353722303481</v>
      </c>
      <c r="P165" s="12" t="n">
        <v>0.896437736375293</v>
      </c>
      <c r="Q165" s="4" t="n">
        <f aca="false">RANK(N165,$N$7:$N$307,0)</f>
        <v>159</v>
      </c>
      <c r="R165" s="4" t="n">
        <f aca="false">RANK(O165,$O$7:$O$307,1)</f>
        <v>265</v>
      </c>
      <c r="S165" s="4" t="n">
        <f aca="false">RANK(J165,$J$7:$J$307,0)</f>
        <v>156</v>
      </c>
      <c r="T165" s="4" t="str">
        <f aca="false">IF(O165&lt;0.05,"YES","no")</f>
        <v>no</v>
      </c>
      <c r="U165" s="4" t="str">
        <f aca="false">IF(P165&lt;0.05,"YES","no")</f>
        <v>no</v>
      </c>
      <c r="V165" s="4" t="str">
        <f aca="false">IF(N165&gt;1,"YES","no")</f>
        <v>no</v>
      </c>
    </row>
    <row r="166" customFormat="false" ht="15" hidden="false" customHeight="false" outlineLevel="0" collapsed="false">
      <c r="A166" s="4" t="s">
        <v>296</v>
      </c>
      <c r="B166" s="4" t="s">
        <v>297</v>
      </c>
      <c r="C166" s="4" t="s">
        <v>72</v>
      </c>
      <c r="D166" s="8" t="n">
        <v>348.07035</v>
      </c>
      <c r="E166" s="9" t="n">
        <v>10.014</v>
      </c>
      <c r="F166" s="10" t="n">
        <v>1539736.64989871</v>
      </c>
      <c r="G166" s="10" t="n">
        <v>375028.501788424</v>
      </c>
      <c r="H166" s="10" t="n">
        <v>2166111.01838208</v>
      </c>
      <c r="I166" s="10" t="n">
        <v>1585554.37664979</v>
      </c>
      <c r="J166" s="10" t="n">
        <v>1824452.27193661</v>
      </c>
      <c r="K166" s="11" t="n">
        <v>1.4068061694346</v>
      </c>
      <c r="L166" s="11" t="n">
        <v>0.492423566912075</v>
      </c>
      <c r="M166" s="11" t="n">
        <v>0.300760421756248</v>
      </c>
      <c r="N166" s="11" t="n">
        <v>0.196813899824111</v>
      </c>
      <c r="O166" s="12" t="n">
        <v>0.432668260937474</v>
      </c>
      <c r="P166" s="12" t="n">
        <v>0.665820888057596</v>
      </c>
      <c r="Q166" s="4" t="n">
        <f aca="false">RANK(N166,$N$7:$N$307,0)</f>
        <v>160</v>
      </c>
      <c r="R166" s="4" t="n">
        <f aca="false">RANK(O166,$O$7:$O$307,1)</f>
        <v>195</v>
      </c>
      <c r="S166" s="4" t="n">
        <f aca="false">RANK(J166,$J$7:$J$307,0)</f>
        <v>183</v>
      </c>
      <c r="T166" s="4" t="str">
        <f aca="false">IF(O166&lt;0.05,"YES","no")</f>
        <v>no</v>
      </c>
      <c r="U166" s="4" t="str">
        <f aca="false">IF(P166&lt;0.05,"YES","no")</f>
        <v>no</v>
      </c>
      <c r="V166" s="4" t="str">
        <f aca="false">IF(N166&gt;1,"YES","no")</f>
        <v>no</v>
      </c>
    </row>
    <row r="167" customFormat="false" ht="15" hidden="false" customHeight="false" outlineLevel="0" collapsed="false">
      <c r="A167" s="4" t="s">
        <v>200</v>
      </c>
      <c r="B167" s="4"/>
      <c r="C167" s="4" t="s">
        <v>61</v>
      </c>
      <c r="D167" s="8" t="n">
        <v>426.02172</v>
      </c>
      <c r="E167" s="9" t="n">
        <v>10.067</v>
      </c>
      <c r="F167" s="10" t="n">
        <v>30510820.2944737</v>
      </c>
      <c r="G167" s="10" t="n">
        <v>9640831.3619235</v>
      </c>
      <c r="H167" s="10" t="n">
        <v>28918492.6073401</v>
      </c>
      <c r="I167" s="10" t="n">
        <v>4736964.62963568</v>
      </c>
      <c r="J167" s="10" t="n">
        <v>29787034.9821402</v>
      </c>
      <c r="K167" s="11" t="n">
        <v>0.947811049596003</v>
      </c>
      <c r="L167" s="11" t="n">
        <v>-0.0773286148575163</v>
      </c>
      <c r="M167" s="11" t="n">
        <v>0.110984187349416</v>
      </c>
      <c r="N167" s="11" t="n">
        <v>0.191450969491162</v>
      </c>
      <c r="O167" s="12" t="n">
        <v>0.731434962136142</v>
      </c>
      <c r="P167" s="12" t="n">
        <v>0.85726058744952</v>
      </c>
      <c r="Q167" s="4" t="n">
        <f aca="false">RANK(N167,$N$7:$N$307,0)</f>
        <v>161</v>
      </c>
      <c r="R167" s="4" t="n">
        <f aca="false">RANK(O167,$O$7:$O$307,1)</f>
        <v>256</v>
      </c>
      <c r="S167" s="4" t="n">
        <f aca="false">RANK(J167,$J$7:$J$307,0)</f>
        <v>64</v>
      </c>
      <c r="T167" s="4" t="str">
        <f aca="false">IF(O167&lt;0.05,"YES","no")</f>
        <v>no</v>
      </c>
      <c r="U167" s="4" t="str">
        <f aca="false">IF(P167&lt;0.05,"YES","no")</f>
        <v>no</v>
      </c>
      <c r="V167" s="4" t="str">
        <f aca="false">IF(N167&gt;1,"YES","no")</f>
        <v>no</v>
      </c>
    </row>
    <row r="168" customFormat="false" ht="15" hidden="false" customHeight="false" outlineLevel="0" collapsed="false">
      <c r="A168" s="4" t="s">
        <v>208</v>
      </c>
      <c r="B168" s="4"/>
      <c r="C168" s="4" t="s">
        <v>72</v>
      </c>
      <c r="D168" s="8" t="n">
        <v>153.01939</v>
      </c>
      <c r="E168" s="9" t="n">
        <v>4.016</v>
      </c>
      <c r="F168" s="10" t="n">
        <v>1503288.83454723</v>
      </c>
      <c r="G168" s="10" t="n">
        <v>535730.738086698</v>
      </c>
      <c r="H168" s="10" t="n">
        <v>2100344.50647764</v>
      </c>
      <c r="I168" s="10" t="n">
        <v>830199.752002765</v>
      </c>
      <c r="J168" s="10" t="n">
        <v>1774677.77633378</v>
      </c>
      <c r="K168" s="11" t="n">
        <v>1.39716630511011</v>
      </c>
      <c r="L168" s="11" t="n">
        <v>0.482503755377113</v>
      </c>
      <c r="M168" s="11" t="n">
        <v>0.433889229925316</v>
      </c>
      <c r="N168" s="11" t="n">
        <v>0.187142320100897</v>
      </c>
      <c r="O168" s="12" t="n">
        <v>0.210756179553047</v>
      </c>
      <c r="P168" s="12" t="n">
        <v>0.545793274011047</v>
      </c>
      <c r="Q168" s="4" t="n">
        <f aca="false">RANK(N168,$N$7:$N$307,0)</f>
        <v>162</v>
      </c>
      <c r="R168" s="4" t="n">
        <f aca="false">RANK(O168,$O$7:$O$307,1)</f>
        <v>113</v>
      </c>
      <c r="S168" s="4" t="n">
        <f aca="false">RANK(J168,$J$7:$J$307,0)</f>
        <v>186</v>
      </c>
      <c r="T168" s="4" t="str">
        <f aca="false">IF(O168&lt;0.05,"YES","no")</f>
        <v>no</v>
      </c>
      <c r="U168" s="4" t="str">
        <f aca="false">IF(P168&lt;0.05,"YES","no")</f>
        <v>no</v>
      </c>
      <c r="V168" s="4" t="str">
        <f aca="false">IF(N168&gt;1,"YES","no")</f>
        <v>no</v>
      </c>
    </row>
    <row r="169" customFormat="false" ht="15" hidden="false" customHeight="false" outlineLevel="0" collapsed="false">
      <c r="A169" s="4" t="s">
        <v>311</v>
      </c>
      <c r="B169" s="4"/>
      <c r="C169" s="4" t="s">
        <v>72</v>
      </c>
      <c r="D169" s="8" t="n">
        <v>243.10881</v>
      </c>
      <c r="E169" s="9" t="n">
        <v>9.193</v>
      </c>
      <c r="F169" s="10" t="n">
        <v>566879.489043512</v>
      </c>
      <c r="G169" s="10" t="n">
        <v>192765.009163862</v>
      </c>
      <c r="H169" s="10" t="n">
        <v>1056792.89143219</v>
      </c>
      <c r="I169" s="10" t="n">
        <v>447910.592955386</v>
      </c>
      <c r="J169" s="10" t="n">
        <v>789567.399220183</v>
      </c>
      <c r="K169" s="11" t="n">
        <v>1.86422848569684</v>
      </c>
      <c r="L169" s="11" t="n">
        <v>0.898578692063204</v>
      </c>
      <c r="M169" s="11" t="n">
        <v>0.631221037734113</v>
      </c>
      <c r="N169" s="11" t="n">
        <v>0.187061957966167</v>
      </c>
      <c r="O169" s="12" t="n">
        <v>0.0695404275158909</v>
      </c>
      <c r="P169" s="12" t="n">
        <v>0.473393770420731</v>
      </c>
      <c r="Q169" s="4" t="n">
        <f aca="false">RANK(N169,$N$7:$N$307,0)</f>
        <v>163</v>
      </c>
      <c r="R169" s="4" t="n">
        <f aca="false">RANK(O169,$O$7:$O$307,1)</f>
        <v>42</v>
      </c>
      <c r="S169" s="4" t="n">
        <f aca="false">RANK(J169,$J$7:$J$307,0)</f>
        <v>228</v>
      </c>
      <c r="T169" s="4" t="str">
        <f aca="false">IF(O169&lt;0.05,"YES","no")</f>
        <v>no</v>
      </c>
      <c r="U169" s="4" t="str">
        <f aca="false">IF(P169&lt;0.05,"YES","no")</f>
        <v>no</v>
      </c>
      <c r="V169" s="4" t="str">
        <f aca="false">IF(N169&gt;1,"YES","no")</f>
        <v>no</v>
      </c>
    </row>
    <row r="170" customFormat="false" ht="15" hidden="false" customHeight="false" outlineLevel="0" collapsed="false">
      <c r="A170" s="4" t="s">
        <v>332</v>
      </c>
      <c r="B170" s="4"/>
      <c r="C170" s="4" t="s">
        <v>72</v>
      </c>
      <c r="D170" s="8" t="n">
        <v>206.1024</v>
      </c>
      <c r="E170" s="9" t="n">
        <v>5.024</v>
      </c>
      <c r="F170" s="10" t="n">
        <v>846027.907136563</v>
      </c>
      <c r="G170" s="10" t="n">
        <v>462862.536550901</v>
      </c>
      <c r="H170" s="10" t="n">
        <v>1405286.89797381</v>
      </c>
      <c r="I170" s="10" t="n">
        <v>780587.861012441</v>
      </c>
      <c r="J170" s="10" t="n">
        <v>1100236.53933531</v>
      </c>
      <c r="K170" s="11" t="n">
        <v>1.66104083106442</v>
      </c>
      <c r="L170" s="11" t="n">
        <v>0.732087537508682</v>
      </c>
      <c r="M170" s="11" t="n">
        <v>0.442241878513905</v>
      </c>
      <c r="N170" s="11" t="n">
        <v>0.182200718688781</v>
      </c>
      <c r="O170" s="12" t="n">
        <v>0.206570136694275</v>
      </c>
      <c r="P170" s="12" t="n">
        <v>0.545793274011047</v>
      </c>
      <c r="Q170" s="4" t="n">
        <f aca="false">RANK(N170,$N$7:$N$307,0)</f>
        <v>164</v>
      </c>
      <c r="R170" s="4" t="n">
        <f aca="false">RANK(O170,$O$7:$O$307,1)</f>
        <v>110</v>
      </c>
      <c r="S170" s="4" t="n">
        <f aca="false">RANK(J170,$J$7:$J$307,0)</f>
        <v>212</v>
      </c>
      <c r="T170" s="4" t="str">
        <f aca="false">IF(O170&lt;0.05,"YES","no")</f>
        <v>no</v>
      </c>
      <c r="U170" s="4" t="str">
        <f aca="false">IF(P170&lt;0.05,"YES","no")</f>
        <v>no</v>
      </c>
      <c r="V170" s="4" t="str">
        <f aca="false">IF(N170&gt;1,"YES","no")</f>
        <v>no</v>
      </c>
    </row>
    <row r="171" customFormat="false" ht="15" hidden="false" customHeight="false" outlineLevel="0" collapsed="false">
      <c r="A171" s="4" t="s">
        <v>313</v>
      </c>
      <c r="B171" s="4"/>
      <c r="C171" s="4" t="s">
        <v>72</v>
      </c>
      <c r="D171" s="8" t="n">
        <v>170.09235</v>
      </c>
      <c r="E171" s="9" t="n">
        <v>7.981</v>
      </c>
      <c r="F171" s="10" t="n">
        <v>3476289.55022924</v>
      </c>
      <c r="G171" s="10" t="n">
        <v>1043505.3645849</v>
      </c>
      <c r="H171" s="10" t="n">
        <v>4117928.53265676</v>
      </c>
      <c r="I171" s="10" t="n">
        <v>859808.386511849</v>
      </c>
      <c r="J171" s="10" t="n">
        <v>3767943.63315084</v>
      </c>
      <c r="K171" s="11" t="n">
        <v>1.18457581658732</v>
      </c>
      <c r="L171" s="11" t="n">
        <v>0.24437053856474</v>
      </c>
      <c r="M171" s="11" t="n">
        <v>0.343348997154365</v>
      </c>
      <c r="N171" s="11" t="n">
        <v>0.179439157132999</v>
      </c>
      <c r="O171" s="12" t="n">
        <v>0.292493176806896</v>
      </c>
      <c r="P171" s="12" t="n">
        <v>0.610572911562579</v>
      </c>
      <c r="Q171" s="4" t="n">
        <f aca="false">RANK(N171,$N$7:$N$307,0)</f>
        <v>165</v>
      </c>
      <c r="R171" s="4" t="n">
        <f aca="false">RANK(O171,$O$7:$O$307,1)</f>
        <v>144</v>
      </c>
      <c r="S171" s="4" t="n">
        <f aca="false">RANK(J171,$J$7:$J$307,0)</f>
        <v>141</v>
      </c>
      <c r="T171" s="4" t="str">
        <f aca="false">IF(O171&lt;0.05,"YES","no")</f>
        <v>no</v>
      </c>
      <c r="U171" s="4" t="str">
        <f aca="false">IF(P171&lt;0.05,"YES","no")</f>
        <v>no</v>
      </c>
      <c r="V171" s="4" t="str">
        <f aca="false">IF(N171&gt;1,"YES","no")</f>
        <v>no</v>
      </c>
    </row>
    <row r="172" customFormat="false" ht="15" hidden="false" customHeight="false" outlineLevel="0" collapsed="false">
      <c r="A172" s="4" t="s">
        <v>163</v>
      </c>
      <c r="B172" s="4" t="s">
        <v>164</v>
      </c>
      <c r="C172" s="4" t="s">
        <v>72</v>
      </c>
      <c r="D172" s="8" t="n">
        <v>87.00868</v>
      </c>
      <c r="E172" s="9" t="n">
        <v>6.813</v>
      </c>
      <c r="F172" s="10" t="n">
        <v>21286890.6975936</v>
      </c>
      <c r="G172" s="10" t="n">
        <v>7569898.18548199</v>
      </c>
      <c r="H172" s="10" t="n">
        <v>22871941.7679122</v>
      </c>
      <c r="I172" s="10" t="n">
        <v>2888882.69325462</v>
      </c>
      <c r="J172" s="10" t="n">
        <v>22007368.4568293</v>
      </c>
      <c r="K172" s="11" t="n">
        <v>1.07446137121838</v>
      </c>
      <c r="L172" s="11" t="n">
        <v>0.10361361626644</v>
      </c>
      <c r="M172" s="11" t="n">
        <v>0.14481010306784</v>
      </c>
      <c r="N172" s="11" t="n">
        <v>0.176460743062677</v>
      </c>
      <c r="O172" s="12" t="n">
        <v>0.651209095493736</v>
      </c>
      <c r="P172" s="12" t="n">
        <v>0.80997494935378</v>
      </c>
      <c r="Q172" s="4" t="n">
        <f aca="false">RANK(N172,$N$7:$N$307,0)</f>
        <v>166</v>
      </c>
      <c r="R172" s="4" t="n">
        <f aca="false">RANK(O172,$O$7:$O$307,1)</f>
        <v>242</v>
      </c>
      <c r="S172" s="4" t="n">
        <f aca="false">RANK(J172,$J$7:$J$307,0)</f>
        <v>72</v>
      </c>
      <c r="T172" s="4" t="str">
        <f aca="false">IF(O172&lt;0.05,"YES","no")</f>
        <v>no</v>
      </c>
      <c r="U172" s="4" t="str">
        <f aca="false">IF(P172&lt;0.05,"YES","no")</f>
        <v>no</v>
      </c>
      <c r="V172" s="4" t="str">
        <f aca="false">IF(N172&gt;1,"YES","no")</f>
        <v>no</v>
      </c>
    </row>
    <row r="173" customFormat="false" ht="15" hidden="false" customHeight="false" outlineLevel="0" collapsed="false">
      <c r="A173" s="4" t="s">
        <v>293</v>
      </c>
      <c r="B173" s="4"/>
      <c r="C173" s="4" t="s">
        <v>61</v>
      </c>
      <c r="D173" s="8" t="n">
        <v>189.05247</v>
      </c>
      <c r="E173" s="9" t="n">
        <v>6.858</v>
      </c>
      <c r="F173" s="10" t="n">
        <v>1274975.33479801</v>
      </c>
      <c r="G173" s="10" t="n">
        <v>444303.085901206</v>
      </c>
      <c r="H173" s="10" t="n">
        <v>1930180.85846892</v>
      </c>
      <c r="I173" s="10" t="n">
        <v>996831.803162136</v>
      </c>
      <c r="J173" s="10" t="n">
        <v>1572796.02737569</v>
      </c>
      <c r="K173" s="11" t="n">
        <v>1.51389662669412</v>
      </c>
      <c r="L173" s="11" t="n">
        <v>0.598266697234239</v>
      </c>
      <c r="M173" s="11" t="n">
        <v>0.436940429166108</v>
      </c>
      <c r="N173" s="11" t="n">
        <v>0.174214004488999</v>
      </c>
      <c r="O173" s="12" t="n">
        <v>0.228248869332157</v>
      </c>
      <c r="P173" s="12" t="n">
        <v>0.552337035283521</v>
      </c>
      <c r="Q173" s="4" t="n">
        <f aca="false">RANK(N173,$N$7:$N$307,0)</f>
        <v>167</v>
      </c>
      <c r="R173" s="4" t="n">
        <f aca="false">RANK(O173,$O$7:$O$307,1)</f>
        <v>123</v>
      </c>
      <c r="S173" s="4" t="n">
        <f aca="false">RANK(J173,$J$7:$J$307,0)</f>
        <v>195</v>
      </c>
      <c r="T173" s="4" t="str">
        <f aca="false">IF(O173&lt;0.05,"YES","no")</f>
        <v>no</v>
      </c>
      <c r="U173" s="4" t="str">
        <f aca="false">IF(P173&lt;0.05,"YES","no")</f>
        <v>no</v>
      </c>
      <c r="V173" s="4" t="str">
        <f aca="false">IF(N173&gt;1,"YES","no")</f>
        <v>no</v>
      </c>
    </row>
    <row r="174" customFormat="false" ht="15" hidden="false" customHeight="false" outlineLevel="0" collapsed="false">
      <c r="A174" s="4" t="s">
        <v>376</v>
      </c>
      <c r="B174" s="4"/>
      <c r="C174" s="4" t="s">
        <v>72</v>
      </c>
      <c r="D174" s="8" t="n">
        <v>129.0658</v>
      </c>
      <c r="E174" s="9" t="n">
        <v>8.019</v>
      </c>
      <c r="F174" s="10" t="n">
        <v>1149895.66118454</v>
      </c>
      <c r="G174" s="10" t="n">
        <v>795622.729884233</v>
      </c>
      <c r="H174" s="10" t="n">
        <v>1688474.9792106</v>
      </c>
      <c r="I174" s="10" t="n">
        <v>585899.472528951</v>
      </c>
      <c r="J174" s="10" t="n">
        <v>1394704.44210548</v>
      </c>
      <c r="K174" s="11" t="n">
        <v>1.46837233690512</v>
      </c>
      <c r="L174" s="11" t="n">
        <v>0.554217840453301</v>
      </c>
      <c r="M174" s="11" t="n">
        <v>0.38528271089405</v>
      </c>
      <c r="N174" s="11" t="n">
        <v>0.166682904546067</v>
      </c>
      <c r="O174" s="12" t="n">
        <v>0.229341916573318</v>
      </c>
      <c r="P174" s="12" t="n">
        <v>0.552337035283521</v>
      </c>
      <c r="Q174" s="4" t="n">
        <f aca="false">RANK(N174,$N$7:$N$307,0)</f>
        <v>168</v>
      </c>
      <c r="R174" s="4" t="n">
        <f aca="false">RANK(O174,$O$7:$O$307,1)</f>
        <v>124</v>
      </c>
      <c r="S174" s="4" t="n">
        <f aca="false">RANK(J174,$J$7:$J$307,0)</f>
        <v>200</v>
      </c>
      <c r="T174" s="4" t="str">
        <f aca="false">IF(O174&lt;0.05,"YES","no")</f>
        <v>no</v>
      </c>
      <c r="U174" s="4" t="str">
        <f aca="false">IF(P174&lt;0.05,"YES","no")</f>
        <v>no</v>
      </c>
      <c r="V174" s="4" t="str">
        <f aca="false">IF(N174&gt;1,"YES","no")</f>
        <v>no</v>
      </c>
    </row>
    <row r="175" customFormat="false" ht="15" hidden="false" customHeight="false" outlineLevel="0" collapsed="false">
      <c r="A175" s="4" t="s">
        <v>317</v>
      </c>
      <c r="B175" s="4"/>
      <c r="C175" s="4" t="s">
        <v>72</v>
      </c>
      <c r="D175" s="8" t="n">
        <v>347.0393</v>
      </c>
      <c r="E175" s="9" t="n">
        <v>10.1</v>
      </c>
      <c r="F175" s="10" t="n">
        <v>1799670.86920072</v>
      </c>
      <c r="G175" s="10" t="n">
        <v>1315231.6251192</v>
      </c>
      <c r="H175" s="10" t="n">
        <v>2587023.08530589</v>
      </c>
      <c r="I175" s="10" t="n">
        <v>1213892.6167897</v>
      </c>
      <c r="J175" s="10" t="n">
        <v>2157558.24015762</v>
      </c>
      <c r="K175" s="11" t="n">
        <v>1.43749789452048</v>
      </c>
      <c r="L175" s="11" t="n">
        <v>0.523559842966869</v>
      </c>
      <c r="M175" s="11" t="n">
        <v>0.322715925313178</v>
      </c>
      <c r="N175" s="11" t="n">
        <v>0.166576221468226</v>
      </c>
      <c r="O175" s="12" t="n">
        <v>0.329768589404112</v>
      </c>
      <c r="P175" s="12" t="n">
        <v>0.617704034920547</v>
      </c>
      <c r="Q175" s="4" t="n">
        <f aca="false">RANK(N175,$N$7:$N$307,0)</f>
        <v>169</v>
      </c>
      <c r="R175" s="4" t="n">
        <f aca="false">RANK(O175,$O$7:$O$307,1)</f>
        <v>159</v>
      </c>
      <c r="S175" s="4" t="n">
        <f aca="false">RANK(J175,$J$7:$J$307,0)</f>
        <v>171</v>
      </c>
      <c r="T175" s="4" t="str">
        <f aca="false">IF(O175&lt;0.05,"YES","no")</f>
        <v>no</v>
      </c>
      <c r="U175" s="4" t="str">
        <f aca="false">IF(P175&lt;0.05,"YES","no")</f>
        <v>no</v>
      </c>
      <c r="V175" s="4" t="str">
        <f aca="false">IF(N175&gt;1,"YES","no")</f>
        <v>no</v>
      </c>
    </row>
    <row r="176" customFormat="false" ht="15" hidden="false" customHeight="false" outlineLevel="0" collapsed="false">
      <c r="A176" s="4" t="s">
        <v>143</v>
      </c>
      <c r="B176" s="4"/>
      <c r="C176" s="4" t="s">
        <v>61</v>
      </c>
      <c r="D176" s="8" t="n">
        <v>104.03524</v>
      </c>
      <c r="E176" s="9" t="n">
        <v>11.442</v>
      </c>
      <c r="F176" s="10" t="n">
        <v>8843476.49282563</v>
      </c>
      <c r="G176" s="10" t="n">
        <v>1702349.36229328</v>
      </c>
      <c r="H176" s="10" t="n">
        <v>9166527.11697383</v>
      </c>
      <c r="I176" s="10" t="n">
        <v>3004228.74201724</v>
      </c>
      <c r="J176" s="10" t="n">
        <v>8990317.68562027</v>
      </c>
      <c r="K176" s="11" t="n">
        <v>1.03652982222662</v>
      </c>
      <c r="L176" s="11" t="n">
        <v>0.0517616251395741</v>
      </c>
      <c r="M176" s="11" t="n">
        <v>0.0747958919785082</v>
      </c>
      <c r="N176" s="11" t="n">
        <v>0.166335776416858</v>
      </c>
      <c r="O176" s="12" t="n">
        <v>0.837867492049733</v>
      </c>
      <c r="P176" s="12" t="n">
        <v>0.907187464413559</v>
      </c>
      <c r="Q176" s="4" t="n">
        <f aca="false">RANK(N176,$N$7:$N$307,0)</f>
        <v>170</v>
      </c>
      <c r="R176" s="4" t="n">
        <f aca="false">RANK(O176,$O$7:$O$307,1)</f>
        <v>278</v>
      </c>
      <c r="S176" s="4" t="n">
        <f aca="false">RANK(J176,$J$7:$J$307,0)</f>
        <v>101</v>
      </c>
      <c r="T176" s="4" t="str">
        <f aca="false">IF(O176&lt;0.05,"YES","no")</f>
        <v>no</v>
      </c>
      <c r="U176" s="4" t="str">
        <f aca="false">IF(P176&lt;0.05,"YES","no")</f>
        <v>no</v>
      </c>
      <c r="V176" s="4" t="str">
        <f aca="false">IF(N176&gt;1,"YES","no")</f>
        <v>no</v>
      </c>
    </row>
    <row r="177" customFormat="false" ht="15" hidden="false" customHeight="false" outlineLevel="0" collapsed="false">
      <c r="A177" s="4" t="s">
        <v>309</v>
      </c>
      <c r="B177" s="4"/>
      <c r="C177" s="4" t="s">
        <v>72</v>
      </c>
      <c r="D177" s="8" t="n">
        <v>306.07599</v>
      </c>
      <c r="E177" s="9" t="n">
        <v>10.096</v>
      </c>
      <c r="F177" s="10" t="n">
        <v>1459112.08787431</v>
      </c>
      <c r="G177" s="10" t="n">
        <v>271702.949489689</v>
      </c>
      <c r="H177" s="10" t="n">
        <v>1878107.12791188</v>
      </c>
      <c r="I177" s="10" t="n">
        <v>353881.105300135</v>
      </c>
      <c r="J177" s="10" t="n">
        <v>1649564.37880048</v>
      </c>
      <c r="K177" s="11" t="n">
        <v>1.28715754157584</v>
      </c>
      <c r="L177" s="11" t="n">
        <v>0.364188642945088</v>
      </c>
      <c r="M177" s="11" t="n">
        <v>0.595791584837287</v>
      </c>
      <c r="N177" s="11" t="n">
        <v>0.165216733805915</v>
      </c>
      <c r="O177" s="12" t="n">
        <v>0.0644590893145127</v>
      </c>
      <c r="P177" s="12" t="n">
        <v>0.473393770420731</v>
      </c>
      <c r="Q177" s="4" t="n">
        <f aca="false">RANK(N177,$N$7:$N$307,0)</f>
        <v>171</v>
      </c>
      <c r="R177" s="4" t="n">
        <f aca="false">RANK(O177,$O$7:$O$307,1)</f>
        <v>38</v>
      </c>
      <c r="S177" s="4" t="n">
        <f aca="false">RANK(J177,$J$7:$J$307,0)</f>
        <v>191</v>
      </c>
      <c r="T177" s="4" t="str">
        <f aca="false">IF(O177&lt;0.05,"YES","no")</f>
        <v>no</v>
      </c>
      <c r="U177" s="4" t="str">
        <f aca="false">IF(P177&lt;0.05,"YES","no")</f>
        <v>no</v>
      </c>
      <c r="V177" s="4" t="str">
        <f aca="false">IF(N177&gt;1,"YES","no")</f>
        <v>no</v>
      </c>
    </row>
    <row r="178" customFormat="false" ht="15" hidden="false" customHeight="false" outlineLevel="0" collapsed="false">
      <c r="A178" s="4" t="s">
        <v>247</v>
      </c>
      <c r="B178" s="4" t="s">
        <v>248</v>
      </c>
      <c r="C178" s="4" t="s">
        <v>61</v>
      </c>
      <c r="D178" s="8" t="n">
        <v>145.0143</v>
      </c>
      <c r="E178" s="9" t="n">
        <v>9.217</v>
      </c>
      <c r="F178" s="10" t="n">
        <v>2523610.13432233</v>
      </c>
      <c r="G178" s="10" t="n">
        <v>1034728.0354662</v>
      </c>
      <c r="H178" s="10" t="n">
        <v>2292935.84024539</v>
      </c>
      <c r="I178" s="10" t="n">
        <v>1322842.55903374</v>
      </c>
      <c r="J178" s="10" t="n">
        <v>2418758.18246918</v>
      </c>
      <c r="K178" s="11" t="n">
        <v>0.908593529983236</v>
      </c>
      <c r="L178" s="11" t="n">
        <v>-0.138293062764041</v>
      </c>
      <c r="M178" s="11" t="n">
        <v>0.107756091837114</v>
      </c>
      <c r="N178" s="11" t="n">
        <v>0.163584320300323</v>
      </c>
      <c r="O178" s="12" t="n">
        <v>0.759593638680371</v>
      </c>
      <c r="P178" s="12" t="n">
        <v>0.876006456868933</v>
      </c>
      <c r="Q178" s="4" t="n">
        <f aca="false">RANK(N178,$N$7:$N$307,0)</f>
        <v>172</v>
      </c>
      <c r="R178" s="4" t="n">
        <f aca="false">RANK(O178,$O$7:$O$307,1)</f>
        <v>261</v>
      </c>
      <c r="S178" s="4" t="n">
        <f aca="false">RANK(J178,$J$7:$J$307,0)</f>
        <v>164</v>
      </c>
      <c r="T178" s="4" t="str">
        <f aca="false">IF(O178&lt;0.05,"YES","no")</f>
        <v>no</v>
      </c>
      <c r="U178" s="4" t="str">
        <f aca="false">IF(P178&lt;0.05,"YES","no")</f>
        <v>no</v>
      </c>
      <c r="V178" s="4" t="str">
        <f aca="false">IF(N178&gt;1,"YES","no")</f>
        <v>no</v>
      </c>
    </row>
    <row r="179" customFormat="false" ht="15" hidden="false" customHeight="false" outlineLevel="0" collapsed="false">
      <c r="A179" s="4" t="s">
        <v>295</v>
      </c>
      <c r="B179" s="4"/>
      <c r="C179" s="4" t="s">
        <v>61</v>
      </c>
      <c r="D179" s="8" t="n">
        <v>282.08428</v>
      </c>
      <c r="E179" s="9" t="n">
        <v>9.983</v>
      </c>
      <c r="F179" s="10" t="n">
        <v>885885.331875317</v>
      </c>
      <c r="G179" s="10" t="n">
        <v>200402.2973889</v>
      </c>
      <c r="H179" s="10" t="n">
        <v>1343209.58105704</v>
      </c>
      <c r="I179" s="10" t="n">
        <v>684045.373062842</v>
      </c>
      <c r="J179" s="10" t="n">
        <v>1093759.99059428</v>
      </c>
      <c r="K179" s="11" t="n">
        <v>1.51623413632283</v>
      </c>
      <c r="L179" s="11" t="n">
        <v>0.600492551154123</v>
      </c>
      <c r="M179" s="11" t="n">
        <v>0.464569025565553</v>
      </c>
      <c r="N179" s="11" t="n">
        <v>0.162126607155646</v>
      </c>
      <c r="O179" s="12" t="n">
        <v>0.21351786888115</v>
      </c>
      <c r="P179" s="12" t="n">
        <v>0.545793274011047</v>
      </c>
      <c r="Q179" s="4" t="n">
        <f aca="false">RANK(N179,$N$7:$N$307,0)</f>
        <v>173</v>
      </c>
      <c r="R179" s="4" t="n">
        <f aca="false">RANK(O179,$O$7:$O$307,1)</f>
        <v>115</v>
      </c>
      <c r="S179" s="4" t="n">
        <f aca="false">RANK(J179,$J$7:$J$307,0)</f>
        <v>213</v>
      </c>
      <c r="T179" s="4" t="str">
        <f aca="false">IF(O179&lt;0.05,"YES","no")</f>
        <v>no</v>
      </c>
      <c r="U179" s="4" t="str">
        <f aca="false">IF(P179&lt;0.05,"YES","no")</f>
        <v>no</v>
      </c>
      <c r="V179" s="4" t="str">
        <f aca="false">IF(N179&gt;1,"YES","no")</f>
        <v>no</v>
      </c>
    </row>
    <row r="180" customFormat="false" ht="15" hidden="false" customHeight="false" outlineLevel="0" collapsed="false">
      <c r="A180" s="4" t="s">
        <v>314</v>
      </c>
      <c r="B180" s="4"/>
      <c r="C180" s="4" t="s">
        <v>72</v>
      </c>
      <c r="D180" s="8" t="n">
        <v>190.04747</v>
      </c>
      <c r="E180" s="9" t="n">
        <v>9.551</v>
      </c>
      <c r="F180" s="10" t="n">
        <v>990875.110799672</v>
      </c>
      <c r="G180" s="10" t="n">
        <v>913280.121398845</v>
      </c>
      <c r="H180" s="10" t="n">
        <v>1514301.4189367</v>
      </c>
      <c r="I180" s="10" t="n">
        <v>1028596.61363217</v>
      </c>
      <c r="J180" s="10" t="n">
        <v>1228796.15995287</v>
      </c>
      <c r="K180" s="11" t="n">
        <v>1.52824649891004</v>
      </c>
      <c r="L180" s="11" t="n">
        <v>0.611877262008106</v>
      </c>
      <c r="M180" s="11" t="n">
        <v>0.285770602855404</v>
      </c>
      <c r="N180" s="11" t="n">
        <v>0.161594891077557</v>
      </c>
      <c r="O180" s="12" t="n">
        <v>0.401993040474937</v>
      </c>
      <c r="P180" s="12" t="n">
        <v>0.650537124639548</v>
      </c>
      <c r="Q180" s="4" t="n">
        <f aca="false">RANK(N180,$N$7:$N$307,0)</f>
        <v>174</v>
      </c>
      <c r="R180" s="4" t="n">
        <f aca="false">RANK(O180,$O$7:$O$307,1)</f>
        <v>186</v>
      </c>
      <c r="S180" s="4" t="n">
        <f aca="false">RANK(J180,$J$7:$J$307,0)</f>
        <v>203</v>
      </c>
      <c r="T180" s="4" t="str">
        <f aca="false">IF(O180&lt;0.05,"YES","no")</f>
        <v>no</v>
      </c>
      <c r="U180" s="4" t="str">
        <f aca="false">IF(P180&lt;0.05,"YES","no")</f>
        <v>no</v>
      </c>
      <c r="V180" s="4" t="str">
        <f aca="false">IF(N180&gt;1,"YES","no")</f>
        <v>no</v>
      </c>
    </row>
    <row r="181" customFormat="false" ht="15" hidden="false" customHeight="false" outlineLevel="0" collapsed="false">
      <c r="A181" s="4" t="s">
        <v>254</v>
      </c>
      <c r="B181" s="4"/>
      <c r="C181" s="4" t="s">
        <v>61</v>
      </c>
      <c r="D181" s="8" t="n">
        <v>565.04835</v>
      </c>
      <c r="E181" s="9" t="n">
        <v>9.395</v>
      </c>
      <c r="F181" s="10" t="n">
        <v>4538452.55717648</v>
      </c>
      <c r="G181" s="10" t="n">
        <v>2177092.6338076</v>
      </c>
      <c r="H181" s="10" t="n">
        <v>3842002.27578934</v>
      </c>
      <c r="I181" s="10" t="n">
        <v>2238764.76585815</v>
      </c>
      <c r="J181" s="10" t="n">
        <v>4221884.24745505</v>
      </c>
      <c r="K181" s="11" t="n">
        <v>0.846544549576515</v>
      </c>
      <c r="L181" s="11" t="n">
        <v>-0.240342102653116</v>
      </c>
      <c r="M181" s="11" t="n">
        <v>0.171321433155485</v>
      </c>
      <c r="N181" s="11" t="n">
        <v>0.160325777300692</v>
      </c>
      <c r="O181" s="12" t="n">
        <v>0.616127737362234</v>
      </c>
      <c r="P181" s="12" t="n">
        <v>0.791027569011233</v>
      </c>
      <c r="Q181" s="4" t="n">
        <f aca="false">RANK(N181,$N$7:$N$307,0)</f>
        <v>175</v>
      </c>
      <c r="R181" s="4" t="n">
        <f aca="false">RANK(O181,$O$7:$O$307,1)</f>
        <v>234</v>
      </c>
      <c r="S181" s="4" t="n">
        <f aca="false">RANK(J181,$J$7:$J$307,0)</f>
        <v>135</v>
      </c>
      <c r="T181" s="4" t="str">
        <f aca="false">IF(O181&lt;0.05,"YES","no")</f>
        <v>no</v>
      </c>
      <c r="U181" s="4" t="str">
        <f aca="false">IF(P181&lt;0.05,"YES","no")</f>
        <v>no</v>
      </c>
      <c r="V181" s="4" t="str">
        <f aca="false">IF(N181&gt;1,"YES","no")</f>
        <v>no</v>
      </c>
    </row>
    <row r="182" customFormat="false" ht="15" hidden="false" customHeight="false" outlineLevel="0" collapsed="false">
      <c r="A182" s="4" t="s">
        <v>316</v>
      </c>
      <c r="B182" s="4"/>
      <c r="C182" s="4" t="s">
        <v>72</v>
      </c>
      <c r="D182" s="8" t="n">
        <v>260.05305</v>
      </c>
      <c r="E182" s="9" t="n">
        <v>9.877</v>
      </c>
      <c r="F182" s="10" t="n">
        <v>896089.948510273</v>
      </c>
      <c r="G182" s="10" t="n">
        <v>328168.579649664</v>
      </c>
      <c r="H182" s="10" t="n">
        <v>1305446.46713876</v>
      </c>
      <c r="I182" s="10" t="n">
        <v>786292.794502787</v>
      </c>
      <c r="J182" s="10" t="n">
        <v>1082161.0933414</v>
      </c>
      <c r="K182" s="11" t="n">
        <v>1.45682525432746</v>
      </c>
      <c r="L182" s="11" t="n">
        <v>0.542827837021835</v>
      </c>
      <c r="M182" s="11" t="n">
        <v>0.362989613477444</v>
      </c>
      <c r="N182" s="11" t="n">
        <v>0.159592371189677</v>
      </c>
      <c r="O182" s="12" t="n">
        <v>0.324854628975419</v>
      </c>
      <c r="P182" s="12" t="n">
        <v>0.617704034920547</v>
      </c>
      <c r="Q182" s="4" t="n">
        <f aca="false">RANK(N182,$N$7:$N$307,0)</f>
        <v>176</v>
      </c>
      <c r="R182" s="4" t="n">
        <f aca="false">RANK(O182,$O$7:$O$307,1)</f>
        <v>153</v>
      </c>
      <c r="S182" s="4" t="n">
        <f aca="false">RANK(J182,$J$7:$J$307,0)</f>
        <v>214</v>
      </c>
      <c r="T182" s="4" t="str">
        <f aca="false">IF(O182&lt;0.05,"YES","no")</f>
        <v>no</v>
      </c>
      <c r="U182" s="4" t="str">
        <f aca="false">IF(P182&lt;0.05,"YES","no")</f>
        <v>no</v>
      </c>
      <c r="V182" s="4" t="str">
        <f aca="false">IF(N182&gt;1,"YES","no")</f>
        <v>no</v>
      </c>
    </row>
    <row r="183" customFormat="false" ht="15" hidden="false" customHeight="false" outlineLevel="0" collapsed="false">
      <c r="A183" s="4" t="s">
        <v>375</v>
      </c>
      <c r="B183" s="4"/>
      <c r="C183" s="4" t="s">
        <v>72</v>
      </c>
      <c r="D183" s="8" t="n">
        <v>283.06833</v>
      </c>
      <c r="E183" s="9" t="n">
        <v>8.572</v>
      </c>
      <c r="F183" s="10" t="n">
        <v>567056.574460298</v>
      </c>
      <c r="G183" s="10" t="n">
        <v>777977.083558301</v>
      </c>
      <c r="H183" s="10" t="n">
        <v>1016283.83175078</v>
      </c>
      <c r="I183" s="10" t="n">
        <v>716063.003291693</v>
      </c>
      <c r="J183" s="10" t="n">
        <v>771250.782319608</v>
      </c>
      <c r="K183" s="11" t="n">
        <v>1.79220888624391</v>
      </c>
      <c r="L183" s="11" t="n">
        <v>0.841738796762401</v>
      </c>
      <c r="M183" s="11" t="n">
        <v>0.31272932718758</v>
      </c>
      <c r="N183" s="11" t="n">
        <v>0.154738514060079</v>
      </c>
      <c r="O183" s="12" t="n">
        <v>0.345631153582242</v>
      </c>
      <c r="P183" s="12" t="n">
        <v>0.619255816834851</v>
      </c>
      <c r="Q183" s="4" t="n">
        <f aca="false">RANK(N183,$N$7:$N$307,0)</f>
        <v>177</v>
      </c>
      <c r="R183" s="4" t="n">
        <f aca="false">RANK(O183,$O$7:$O$307,1)</f>
        <v>168</v>
      </c>
      <c r="S183" s="4" t="n">
        <f aca="false">RANK(J183,$J$7:$J$307,0)</f>
        <v>229</v>
      </c>
      <c r="T183" s="4" t="str">
        <f aca="false">IF(O183&lt;0.05,"YES","no")</f>
        <v>no</v>
      </c>
      <c r="U183" s="4" t="str">
        <f aca="false">IF(P183&lt;0.05,"YES","no")</f>
        <v>no</v>
      </c>
      <c r="V183" s="4" t="str">
        <f aca="false">IF(N183&gt;1,"YES","no")</f>
        <v>no</v>
      </c>
    </row>
    <row r="184" customFormat="false" ht="15" hidden="false" customHeight="false" outlineLevel="0" collapsed="false">
      <c r="A184" s="4" t="s">
        <v>353</v>
      </c>
      <c r="B184" s="4" t="s">
        <v>354</v>
      </c>
      <c r="C184" s="4" t="s">
        <v>72</v>
      </c>
      <c r="D184" s="8" t="n">
        <v>229.01158</v>
      </c>
      <c r="E184" s="9" t="n">
        <v>10.048</v>
      </c>
      <c r="F184" s="10" t="n">
        <v>568226.71350685</v>
      </c>
      <c r="G184" s="10" t="n">
        <v>175107.721258701</v>
      </c>
      <c r="H184" s="10" t="n">
        <v>919607.265096298</v>
      </c>
      <c r="I184" s="10" t="n">
        <v>391655.552043631</v>
      </c>
      <c r="J184" s="10" t="n">
        <v>727945.146047508</v>
      </c>
      <c r="K184" s="11" t="n">
        <v>1.61838090895248</v>
      </c>
      <c r="L184" s="11" t="n">
        <v>0.694551206520184</v>
      </c>
      <c r="M184" s="11" t="n">
        <v>0.552372331689223</v>
      </c>
      <c r="N184" s="11" t="n">
        <v>0.152132065267053</v>
      </c>
      <c r="O184" s="12" t="n">
        <v>0.118817821040543</v>
      </c>
      <c r="P184" s="12" t="n">
        <v>0.513878605264234</v>
      </c>
      <c r="Q184" s="4" t="n">
        <f aca="false">RANK(N184,$N$7:$N$307,0)</f>
        <v>178</v>
      </c>
      <c r="R184" s="4" t="n">
        <f aca="false">RANK(O184,$O$7:$O$307,1)</f>
        <v>66</v>
      </c>
      <c r="S184" s="4" t="n">
        <f aca="false">RANK(J184,$J$7:$J$307,0)</f>
        <v>230</v>
      </c>
      <c r="T184" s="4" t="str">
        <f aca="false">IF(O184&lt;0.05,"YES","no")</f>
        <v>no</v>
      </c>
      <c r="U184" s="4" t="str">
        <f aca="false">IF(P184&lt;0.05,"YES","no")</f>
        <v>no</v>
      </c>
      <c r="V184" s="4" t="str">
        <f aca="false">IF(N184&gt;1,"YES","no")</f>
        <v>no</v>
      </c>
    </row>
    <row r="185" customFormat="false" ht="15" hidden="false" customHeight="false" outlineLevel="0" collapsed="false">
      <c r="A185" s="4" t="s">
        <v>274</v>
      </c>
      <c r="B185" s="4"/>
      <c r="C185" s="4" t="s">
        <v>72</v>
      </c>
      <c r="D185" s="8" t="n">
        <v>263.13899</v>
      </c>
      <c r="E185" s="9" t="n">
        <v>6.847</v>
      </c>
      <c r="F185" s="10" t="n">
        <v>500652.327879161</v>
      </c>
      <c r="G185" s="10" t="n">
        <v>81578.6918668805</v>
      </c>
      <c r="H185" s="10" t="n">
        <v>805630.496476302</v>
      </c>
      <c r="I185" s="10" t="n">
        <v>240599.713443401</v>
      </c>
      <c r="J185" s="10" t="n">
        <v>639278.768150589</v>
      </c>
      <c r="K185" s="11" t="n">
        <v>1.60916159101681</v>
      </c>
      <c r="L185" s="11" t="n">
        <v>0.686309207884231</v>
      </c>
      <c r="M185" s="11" t="n">
        <v>0.699455532358766</v>
      </c>
      <c r="N185" s="11" t="n">
        <v>0.152034958146493</v>
      </c>
      <c r="O185" s="12" t="n">
        <v>0.0445455298744676</v>
      </c>
      <c r="P185" s="12" t="n">
        <v>0.432522725555315</v>
      </c>
      <c r="Q185" s="4" t="n">
        <f aca="false">RANK(N185,$N$7:$N$307,0)</f>
        <v>179</v>
      </c>
      <c r="R185" s="4" t="n">
        <f aca="false">RANK(O185,$O$7:$O$307,1)</f>
        <v>31</v>
      </c>
      <c r="S185" s="4" t="n">
        <f aca="false">RANK(J185,$J$7:$J$307,0)</f>
        <v>236</v>
      </c>
      <c r="T185" s="4" t="str">
        <f aca="false">IF(O185&lt;0.05,"YES","no")</f>
        <v>YES</v>
      </c>
      <c r="U185" s="4" t="str">
        <f aca="false">IF(P185&lt;0.05,"YES","no")</f>
        <v>no</v>
      </c>
      <c r="V185" s="4" t="str">
        <f aca="false">IF(N185&gt;1,"YES","no")</f>
        <v>no</v>
      </c>
    </row>
    <row r="186" customFormat="false" ht="15" hidden="false" customHeight="false" outlineLevel="0" collapsed="false">
      <c r="A186" s="4" t="s">
        <v>219</v>
      </c>
      <c r="B186" s="4"/>
      <c r="C186" s="4" t="s">
        <v>72</v>
      </c>
      <c r="D186" s="8" t="n">
        <v>131.08258</v>
      </c>
      <c r="E186" s="9" t="n">
        <v>11.631</v>
      </c>
      <c r="F186" s="10" t="n">
        <v>4009899.33238833</v>
      </c>
      <c r="G186" s="10" t="n">
        <v>1002516.45577887</v>
      </c>
      <c r="H186" s="10" t="n">
        <v>3410562.97390137</v>
      </c>
      <c r="I186" s="10" t="n">
        <v>601918.042724851</v>
      </c>
      <c r="J186" s="10" t="n">
        <v>3737473.71489426</v>
      </c>
      <c r="K186" s="11" t="n">
        <v>0.850535809304222</v>
      </c>
      <c r="L186" s="11" t="n">
        <v>-0.233556117296095</v>
      </c>
      <c r="M186" s="11" t="n">
        <v>0.362525300845936</v>
      </c>
      <c r="N186" s="11" t="n">
        <v>0.151742239814709</v>
      </c>
      <c r="O186" s="12" t="n">
        <v>0.254683952034106</v>
      </c>
      <c r="P186" s="12" t="n">
        <v>0.585306597098332</v>
      </c>
      <c r="Q186" s="4" t="n">
        <f aca="false">RANK(N186,$N$7:$N$307,0)</f>
        <v>180</v>
      </c>
      <c r="R186" s="4" t="n">
        <f aca="false">RANK(O186,$O$7:$O$307,1)</f>
        <v>130</v>
      </c>
      <c r="S186" s="4" t="n">
        <f aca="false">RANK(J186,$J$7:$J$307,0)</f>
        <v>143</v>
      </c>
      <c r="T186" s="4" t="str">
        <f aca="false">IF(O186&lt;0.05,"YES","no")</f>
        <v>no</v>
      </c>
      <c r="U186" s="4" t="str">
        <f aca="false">IF(P186&lt;0.05,"YES","no")</f>
        <v>no</v>
      </c>
      <c r="V186" s="4" t="str">
        <f aca="false">IF(N186&gt;1,"YES","no")</f>
        <v>no</v>
      </c>
    </row>
    <row r="187" customFormat="false" ht="15" hidden="false" customHeight="false" outlineLevel="0" collapsed="false">
      <c r="A187" s="4" t="s">
        <v>201</v>
      </c>
      <c r="B187" s="4"/>
      <c r="C187" s="4" t="s">
        <v>61</v>
      </c>
      <c r="D187" s="8" t="n">
        <v>157.03674</v>
      </c>
      <c r="E187" s="9" t="n">
        <v>10.553</v>
      </c>
      <c r="F187" s="10" t="n">
        <v>1253109.92030761</v>
      </c>
      <c r="G187" s="10" t="n">
        <v>386886.785179774</v>
      </c>
      <c r="H187" s="10" t="n">
        <v>1656253.37031952</v>
      </c>
      <c r="I187" s="10" t="n">
        <v>474850.763933818</v>
      </c>
      <c r="J187" s="10" t="n">
        <v>1436356.9430403</v>
      </c>
      <c r="K187" s="11" t="n">
        <v>1.32171435520433</v>
      </c>
      <c r="L187" s="11" t="n">
        <v>0.402410419767183</v>
      </c>
      <c r="M187" s="11" t="n">
        <v>0.460127495184293</v>
      </c>
      <c r="N187" s="11" t="n">
        <v>0.151530908840896</v>
      </c>
      <c r="O187" s="12" t="n">
        <v>0.167390127232737</v>
      </c>
      <c r="P187" s="12" t="n">
        <v>0.545793274011047</v>
      </c>
      <c r="Q187" s="4" t="n">
        <f aca="false">RANK(N187,$N$7:$N$307,0)</f>
        <v>181</v>
      </c>
      <c r="R187" s="4" t="n">
        <f aca="false">RANK(O187,$O$7:$O$307,1)</f>
        <v>89</v>
      </c>
      <c r="S187" s="4" t="n">
        <f aca="false">RANK(J187,$J$7:$J$307,0)</f>
        <v>198</v>
      </c>
      <c r="T187" s="4" t="str">
        <f aca="false">IF(O187&lt;0.05,"YES","no")</f>
        <v>no</v>
      </c>
      <c r="U187" s="4" t="str">
        <f aca="false">IF(P187&lt;0.05,"YES","no")</f>
        <v>no</v>
      </c>
      <c r="V187" s="4" t="str">
        <f aca="false">IF(N187&gt;1,"YES","no")</f>
        <v>no</v>
      </c>
    </row>
    <row r="188" customFormat="false" ht="15" hidden="false" customHeight="false" outlineLevel="0" collapsed="false">
      <c r="A188" s="4" t="s">
        <v>205</v>
      </c>
      <c r="B188" s="4"/>
      <c r="C188" s="4" t="s">
        <v>61</v>
      </c>
      <c r="D188" s="8" t="n">
        <v>133.06076</v>
      </c>
      <c r="E188" s="9" t="n">
        <v>8.774</v>
      </c>
      <c r="F188" s="10" t="n">
        <v>1395966.87630108</v>
      </c>
      <c r="G188" s="10" t="n">
        <v>1280511.52301009</v>
      </c>
      <c r="H188" s="10" t="n">
        <v>1863519.2587074</v>
      </c>
      <c r="I188" s="10" t="n">
        <v>832272.670050784</v>
      </c>
      <c r="J188" s="10" t="n">
        <v>1608490.68648577</v>
      </c>
      <c r="K188" s="11" t="n">
        <v>1.33493085713122</v>
      </c>
      <c r="L188" s="11" t="n">
        <v>0.416765019323176</v>
      </c>
      <c r="M188" s="11" t="n">
        <v>0.227045645660904</v>
      </c>
      <c r="N188" s="11" t="n">
        <v>0.151118100671137</v>
      </c>
      <c r="O188" s="12" t="n">
        <v>0.485638238089845</v>
      </c>
      <c r="P188" s="12" t="n">
        <v>0.700448056669827</v>
      </c>
      <c r="Q188" s="4" t="n">
        <f aca="false">RANK(N188,$N$7:$N$307,0)</f>
        <v>182</v>
      </c>
      <c r="R188" s="4" t="n">
        <f aca="false">RANK(O188,$O$7:$O$307,1)</f>
        <v>208</v>
      </c>
      <c r="S188" s="4" t="n">
        <f aca="false">RANK(J188,$J$7:$J$307,0)</f>
        <v>194</v>
      </c>
      <c r="T188" s="4" t="str">
        <f aca="false">IF(O188&lt;0.05,"YES","no")</f>
        <v>no</v>
      </c>
      <c r="U188" s="4" t="str">
        <f aca="false">IF(P188&lt;0.05,"YES","no")</f>
        <v>no</v>
      </c>
      <c r="V188" s="4" t="str">
        <f aca="false">IF(N188&gt;1,"YES","no")</f>
        <v>no</v>
      </c>
    </row>
    <row r="189" customFormat="false" ht="15" hidden="false" customHeight="false" outlineLevel="0" collapsed="false">
      <c r="A189" s="4" t="s">
        <v>323</v>
      </c>
      <c r="B189" s="4" t="s">
        <v>324</v>
      </c>
      <c r="C189" s="4" t="s">
        <v>72</v>
      </c>
      <c r="D189" s="8" t="n">
        <v>489.11475</v>
      </c>
      <c r="E189" s="9" t="n">
        <v>10.202</v>
      </c>
      <c r="F189" s="10" t="n">
        <v>6924807.34347105</v>
      </c>
      <c r="G189" s="10" t="n">
        <v>3184924.29253276</v>
      </c>
      <c r="H189" s="10" t="n">
        <v>6010359.80980363</v>
      </c>
      <c r="I189" s="10" t="n">
        <v>1670778.16219611</v>
      </c>
      <c r="J189" s="10" t="n">
        <v>6509149.37362222</v>
      </c>
      <c r="K189" s="11" t="n">
        <v>0.867946140836742</v>
      </c>
      <c r="L189" s="11" t="n">
        <v>-0.204322573828833</v>
      </c>
      <c r="M189" s="11" t="n">
        <v>0.188526746960994</v>
      </c>
      <c r="N189" s="11" t="n">
        <v>0.14371149686396</v>
      </c>
      <c r="O189" s="12" t="n">
        <v>0.55937902936539</v>
      </c>
      <c r="P189" s="12" t="n">
        <v>0.745013663004347</v>
      </c>
      <c r="Q189" s="4" t="n">
        <f aca="false">RANK(N189,$N$7:$N$307,0)</f>
        <v>183</v>
      </c>
      <c r="R189" s="4" t="n">
        <f aca="false">RANK(O189,$O$7:$O$307,1)</f>
        <v>226</v>
      </c>
      <c r="S189" s="4" t="n">
        <f aca="false">RANK(J189,$J$7:$J$307,0)</f>
        <v>120</v>
      </c>
      <c r="T189" s="4" t="str">
        <f aca="false">IF(O189&lt;0.05,"YES","no")</f>
        <v>no</v>
      </c>
      <c r="U189" s="4" t="str">
        <f aca="false">IF(P189&lt;0.05,"YES","no")</f>
        <v>no</v>
      </c>
      <c r="V189" s="4" t="str">
        <f aca="false">IF(N189&gt;1,"YES","no")</f>
        <v>no</v>
      </c>
    </row>
    <row r="190" customFormat="false" ht="15" hidden="false" customHeight="false" outlineLevel="0" collapsed="false">
      <c r="A190" s="4" t="s">
        <v>273</v>
      </c>
      <c r="B190" s="4"/>
      <c r="C190" s="4" t="s">
        <v>72</v>
      </c>
      <c r="D190" s="8" t="n">
        <v>165.01942</v>
      </c>
      <c r="E190" s="9" t="n">
        <v>8.62</v>
      </c>
      <c r="F190" s="10" t="n">
        <v>990364.747465812</v>
      </c>
      <c r="G190" s="10" t="n">
        <v>315451.501143275</v>
      </c>
      <c r="H190" s="10" t="n">
        <v>1335654.89402856</v>
      </c>
      <c r="I190" s="10" t="n">
        <v>686858.552894204</v>
      </c>
      <c r="J190" s="10" t="n">
        <v>1147314.81408524</v>
      </c>
      <c r="K190" s="11" t="n">
        <v>1.34864947227402</v>
      </c>
      <c r="L190" s="11" t="n">
        <v>0.431515425880572</v>
      </c>
      <c r="M190" s="11" t="n">
        <v>0.346401134381581</v>
      </c>
      <c r="N190" s="11" t="n">
        <v>0.142036363098342</v>
      </c>
      <c r="O190" s="12" t="n">
        <v>0.344091909673937</v>
      </c>
      <c r="P190" s="12" t="n">
        <v>0.619255816834851</v>
      </c>
      <c r="Q190" s="4" t="n">
        <f aca="false">RANK(N190,$N$7:$N$307,0)</f>
        <v>184</v>
      </c>
      <c r="R190" s="4" t="n">
        <f aca="false">RANK(O190,$O$7:$O$307,1)</f>
        <v>166</v>
      </c>
      <c r="S190" s="4" t="n">
        <f aca="false">RANK(J190,$J$7:$J$307,0)</f>
        <v>209</v>
      </c>
      <c r="T190" s="4" t="str">
        <f aca="false">IF(O190&lt;0.05,"YES","no")</f>
        <v>no</v>
      </c>
      <c r="U190" s="4" t="str">
        <f aca="false">IF(P190&lt;0.05,"YES","no")</f>
        <v>no</v>
      </c>
      <c r="V190" s="4" t="str">
        <f aca="false">IF(N190&gt;1,"YES","no")</f>
        <v>no</v>
      </c>
    </row>
    <row r="191" customFormat="false" ht="15" hidden="false" customHeight="false" outlineLevel="0" collapsed="false">
      <c r="A191" s="4" t="s">
        <v>217</v>
      </c>
      <c r="B191" s="4"/>
      <c r="C191" s="4" t="s">
        <v>61</v>
      </c>
      <c r="D191" s="8" t="n">
        <v>178.05098</v>
      </c>
      <c r="E191" s="9" t="n">
        <v>5.022</v>
      </c>
      <c r="F191" s="10" t="n">
        <v>321969.251733432</v>
      </c>
      <c r="G191" s="10" t="n">
        <v>316271.380734683</v>
      </c>
      <c r="H191" s="10" t="n">
        <v>675146.679250619</v>
      </c>
      <c r="I191" s="10" t="n">
        <v>560744.130221311</v>
      </c>
      <c r="J191" s="10" t="n">
        <v>482504.446059426</v>
      </c>
      <c r="K191" s="11" t="n">
        <v>2.09692905647274</v>
      </c>
      <c r="L191" s="11" t="n">
        <v>1.06827805284781</v>
      </c>
      <c r="M191" s="11" t="n">
        <v>0.40266923402009</v>
      </c>
      <c r="N191" s="11" t="n">
        <v>0.138807189451811</v>
      </c>
      <c r="O191" s="12" t="n">
        <v>0.256670315351963</v>
      </c>
      <c r="P191" s="12" t="n">
        <v>0.585306597098332</v>
      </c>
      <c r="Q191" s="4" t="n">
        <f aca="false">RANK(N191,$N$7:$N$307,0)</f>
        <v>185</v>
      </c>
      <c r="R191" s="4" t="n">
        <f aca="false">RANK(O191,$O$7:$O$307,1)</f>
        <v>131</v>
      </c>
      <c r="S191" s="4" t="n">
        <f aca="false">RANK(J191,$J$7:$J$307,0)</f>
        <v>245</v>
      </c>
      <c r="T191" s="4" t="str">
        <f aca="false">IF(O191&lt;0.05,"YES","no")</f>
        <v>no</v>
      </c>
      <c r="U191" s="4" t="str">
        <f aca="false">IF(P191&lt;0.05,"YES","no")</f>
        <v>no</v>
      </c>
      <c r="V191" s="4" t="str">
        <f aca="false">IF(N191&gt;1,"YES","no")</f>
        <v>no</v>
      </c>
    </row>
    <row r="192" customFormat="false" ht="15" hidden="false" customHeight="false" outlineLevel="0" collapsed="false">
      <c r="A192" s="4" t="s">
        <v>404</v>
      </c>
      <c r="B192" s="4"/>
      <c r="C192" s="4" t="s">
        <v>72</v>
      </c>
      <c r="D192" s="8" t="n">
        <v>243.02641</v>
      </c>
      <c r="E192" s="9" t="n">
        <v>9.682</v>
      </c>
      <c r="F192" s="10" t="n">
        <v>612230.795404076</v>
      </c>
      <c r="G192" s="10" t="n">
        <v>810430.887837459</v>
      </c>
      <c r="H192" s="10" t="n">
        <v>152306.781176115</v>
      </c>
      <c r="I192" s="10" t="n">
        <v>40124.4710933612</v>
      </c>
      <c r="J192" s="10" t="n">
        <v>403174.425300457</v>
      </c>
      <c r="K192" s="11" t="n">
        <v>0.248773472878952</v>
      </c>
      <c r="L192" s="11" t="n">
        <v>-2.00709543814207</v>
      </c>
      <c r="M192" s="11" t="n">
        <v>0.386228825043114</v>
      </c>
      <c r="N192" s="11" t="n">
        <v>0.137757594356789</v>
      </c>
      <c r="O192" s="12" t="n">
        <v>0.223465380415634</v>
      </c>
      <c r="P192" s="12" t="n">
        <v>0.551336717254966</v>
      </c>
      <c r="Q192" s="4" t="n">
        <f aca="false">RANK(N192,$N$7:$N$307,0)</f>
        <v>186</v>
      </c>
      <c r="R192" s="4" t="n">
        <f aca="false">RANK(O192,$O$7:$O$307,1)</f>
        <v>122</v>
      </c>
      <c r="S192" s="4" t="n">
        <f aca="false">RANK(J192,$J$7:$J$307,0)</f>
        <v>254</v>
      </c>
      <c r="T192" s="4" t="str">
        <f aca="false">IF(O192&lt;0.05,"YES","no")</f>
        <v>no</v>
      </c>
      <c r="U192" s="4" t="str">
        <f aca="false">IF(P192&lt;0.05,"YES","no")</f>
        <v>no</v>
      </c>
      <c r="V192" s="4" t="str">
        <f aca="false">IF(N192&gt;1,"YES","no")</f>
        <v>no</v>
      </c>
    </row>
    <row r="193" customFormat="false" ht="15" hidden="false" customHeight="false" outlineLevel="0" collapsed="false">
      <c r="A193" s="4" t="s">
        <v>256</v>
      </c>
      <c r="B193" s="4"/>
      <c r="C193" s="4" t="s">
        <v>61</v>
      </c>
      <c r="D193" s="8" t="n">
        <v>137.02435</v>
      </c>
      <c r="E193" s="9" t="n">
        <v>4.578</v>
      </c>
      <c r="F193" s="10" t="n">
        <v>754329.698569727</v>
      </c>
      <c r="G193" s="10" t="n">
        <v>272562.155963098</v>
      </c>
      <c r="H193" s="10" t="n">
        <v>1079970.45873779</v>
      </c>
      <c r="I193" s="10" t="n">
        <v>462541.634821155</v>
      </c>
      <c r="J193" s="10" t="n">
        <v>902348.225918848</v>
      </c>
      <c r="K193" s="11" t="n">
        <v>1.43169553152356</v>
      </c>
      <c r="L193" s="11" t="n">
        <v>0.517724717557209</v>
      </c>
      <c r="M193" s="11" t="n">
        <v>0.436708012236591</v>
      </c>
      <c r="N193" s="11" t="n">
        <v>0.134902511188876</v>
      </c>
      <c r="O193" s="12" t="n">
        <v>0.213190500954249</v>
      </c>
      <c r="P193" s="12" t="n">
        <v>0.545793274011047</v>
      </c>
      <c r="Q193" s="4" t="n">
        <f aca="false">RANK(N193,$N$7:$N$307,0)</f>
        <v>187</v>
      </c>
      <c r="R193" s="4" t="n">
        <f aca="false">RANK(O193,$O$7:$O$307,1)</f>
        <v>114</v>
      </c>
      <c r="S193" s="4" t="n">
        <f aca="false">RANK(J193,$J$7:$J$307,0)</f>
        <v>220</v>
      </c>
      <c r="T193" s="4" t="str">
        <f aca="false">IF(O193&lt;0.05,"YES","no")</f>
        <v>no</v>
      </c>
      <c r="U193" s="4" t="str">
        <f aca="false">IF(P193&lt;0.05,"YES","no")</f>
        <v>no</v>
      </c>
      <c r="V193" s="4" t="str">
        <f aca="false">IF(N193&gt;1,"YES","no")</f>
        <v>no</v>
      </c>
    </row>
    <row r="194" customFormat="false" ht="15" hidden="false" customHeight="false" outlineLevel="0" collapsed="false">
      <c r="A194" s="4" t="s">
        <v>266</v>
      </c>
      <c r="B194" s="4" t="s">
        <v>267</v>
      </c>
      <c r="C194" s="4" t="s">
        <v>61</v>
      </c>
      <c r="D194" s="8" t="n">
        <v>604.06976</v>
      </c>
      <c r="E194" s="9" t="n">
        <v>10.47</v>
      </c>
      <c r="F194" s="10" t="n">
        <v>3847446.85662933</v>
      </c>
      <c r="G194" s="10" t="n">
        <v>1109859.60926769</v>
      </c>
      <c r="H194" s="10" t="n">
        <v>3540166.08140771</v>
      </c>
      <c r="I194" s="10" t="n">
        <v>803479.954624027</v>
      </c>
      <c r="J194" s="10" t="n">
        <v>3707773.77698314</v>
      </c>
      <c r="K194" s="11" t="n">
        <v>0.920133848062865</v>
      </c>
      <c r="L194" s="11" t="n">
        <v>-0.120084355575346</v>
      </c>
      <c r="M194" s="11" t="n">
        <v>0.169164012331838</v>
      </c>
      <c r="N194" s="11" t="n">
        <v>0.134264638928034</v>
      </c>
      <c r="O194" s="12" t="n">
        <v>0.608202060704749</v>
      </c>
      <c r="P194" s="12" t="n">
        <v>0.785703091296693</v>
      </c>
      <c r="Q194" s="4" t="n">
        <f aca="false">RANK(N194,$N$7:$N$307,0)</f>
        <v>188</v>
      </c>
      <c r="R194" s="4" t="n">
        <f aca="false">RANK(O194,$O$7:$O$307,1)</f>
        <v>233</v>
      </c>
      <c r="S194" s="4" t="n">
        <f aca="false">RANK(J194,$J$7:$J$307,0)</f>
        <v>144</v>
      </c>
      <c r="T194" s="4" t="str">
        <f aca="false">IF(O194&lt;0.05,"YES","no")</f>
        <v>no</v>
      </c>
      <c r="U194" s="4" t="str">
        <f aca="false">IF(P194&lt;0.05,"YES","no")</f>
        <v>no</v>
      </c>
      <c r="V194" s="4" t="str">
        <f aca="false">IF(N194&gt;1,"YES","no")</f>
        <v>no</v>
      </c>
    </row>
    <row r="195" customFormat="false" ht="15" hidden="false" customHeight="false" outlineLevel="0" collapsed="false">
      <c r="A195" s="4" t="s">
        <v>364</v>
      </c>
      <c r="B195" s="4" t="s">
        <v>365</v>
      </c>
      <c r="C195" s="4" t="s">
        <v>72</v>
      </c>
      <c r="D195" s="8" t="n">
        <v>196.09677</v>
      </c>
      <c r="E195" s="9" t="n">
        <v>5.013</v>
      </c>
      <c r="F195" s="10" t="n">
        <v>791534.209050061</v>
      </c>
      <c r="G195" s="10" t="n">
        <v>160932.215290008</v>
      </c>
      <c r="H195" s="10" t="n">
        <v>1025986.48551934</v>
      </c>
      <c r="I195" s="10" t="n">
        <v>66728.5360999715</v>
      </c>
      <c r="J195" s="10" t="n">
        <v>898103.425627007</v>
      </c>
      <c r="K195" s="11" t="n">
        <v>1.29619980259685</v>
      </c>
      <c r="L195" s="11" t="n">
        <v>0.374288119455586</v>
      </c>
      <c r="M195" s="11" t="n">
        <v>0.710199588351961</v>
      </c>
      <c r="N195" s="11" t="n">
        <v>0.132838945811871</v>
      </c>
      <c r="O195" s="12" t="n">
        <v>0.0143362277696296</v>
      </c>
      <c r="P195" s="12" t="n">
        <v>0.269700284916156</v>
      </c>
      <c r="Q195" s="4" t="n">
        <f aca="false">RANK(N195,$N$7:$N$307,0)</f>
        <v>189</v>
      </c>
      <c r="R195" s="4" t="n">
        <f aca="false">RANK(O195,$O$7:$O$307,1)</f>
        <v>16</v>
      </c>
      <c r="S195" s="4" t="n">
        <f aca="false">RANK(J195,$J$7:$J$307,0)</f>
        <v>221</v>
      </c>
      <c r="T195" s="4" t="str">
        <f aca="false">IF(O195&lt;0.05,"YES","no")</f>
        <v>YES</v>
      </c>
      <c r="U195" s="4" t="str">
        <f aca="false">IF(P195&lt;0.05,"YES","no")</f>
        <v>no</v>
      </c>
      <c r="V195" s="4" t="str">
        <f aca="false">IF(N195&gt;1,"YES","no")</f>
        <v>no</v>
      </c>
    </row>
    <row r="196" customFormat="false" ht="15" hidden="false" customHeight="false" outlineLevel="0" collapsed="false">
      <c r="A196" s="4" t="s">
        <v>321</v>
      </c>
      <c r="B196" s="4"/>
      <c r="C196" s="4" t="s">
        <v>72</v>
      </c>
      <c r="D196" s="8" t="n">
        <v>455.0973</v>
      </c>
      <c r="E196" s="9" t="n">
        <v>8.139</v>
      </c>
      <c r="F196" s="10" t="n">
        <v>2133166.35102566</v>
      </c>
      <c r="G196" s="10" t="n">
        <v>798987.316572047</v>
      </c>
      <c r="H196" s="10" t="n">
        <v>2601457.71256563</v>
      </c>
      <c r="I196" s="10" t="n">
        <v>506483.778931091</v>
      </c>
      <c r="J196" s="10" t="n">
        <v>2346026.06081656</v>
      </c>
      <c r="K196" s="11" t="n">
        <v>1.2195287588869</v>
      </c>
      <c r="L196" s="11" t="n">
        <v>0.286323780122041</v>
      </c>
      <c r="M196" s="11" t="n">
        <v>0.352397788430246</v>
      </c>
      <c r="N196" s="11" t="n">
        <v>0.132369012309922</v>
      </c>
      <c r="O196" s="12" t="n">
        <v>0.27022019239213</v>
      </c>
      <c r="P196" s="12" t="n">
        <v>0.589747674995542</v>
      </c>
      <c r="Q196" s="4" t="n">
        <f aca="false">RANK(N196,$N$7:$N$307,0)</f>
        <v>190</v>
      </c>
      <c r="R196" s="4" t="n">
        <f aca="false">RANK(O196,$O$7:$O$307,1)</f>
        <v>136</v>
      </c>
      <c r="S196" s="4" t="n">
        <f aca="false">RANK(J196,$J$7:$J$307,0)</f>
        <v>167</v>
      </c>
      <c r="T196" s="4" t="str">
        <f aca="false">IF(O196&lt;0.05,"YES","no")</f>
        <v>no</v>
      </c>
      <c r="U196" s="4" t="str">
        <f aca="false">IF(P196&lt;0.05,"YES","no")</f>
        <v>no</v>
      </c>
      <c r="V196" s="4" t="str">
        <f aca="false">IF(N196&gt;1,"YES","no")</f>
        <v>no</v>
      </c>
    </row>
    <row r="197" customFormat="false" ht="15" hidden="false" customHeight="false" outlineLevel="0" collapsed="false">
      <c r="A197" s="4" t="s">
        <v>225</v>
      </c>
      <c r="B197" s="4"/>
      <c r="C197" s="4" t="s">
        <v>61</v>
      </c>
      <c r="D197" s="8" t="n">
        <v>111.01993</v>
      </c>
      <c r="E197" s="9" t="n">
        <v>7.507</v>
      </c>
      <c r="F197" s="10" t="n">
        <v>2198444.46935942</v>
      </c>
      <c r="G197" s="10" t="n">
        <v>967613.83118596</v>
      </c>
      <c r="H197" s="10" t="n">
        <v>1772491.6697212</v>
      </c>
      <c r="I197" s="10" t="n">
        <v>292917.868745282</v>
      </c>
      <c r="J197" s="10" t="n">
        <v>2004829.56043296</v>
      </c>
      <c r="K197" s="11" t="n">
        <v>0.806248096972702</v>
      </c>
      <c r="L197" s="11" t="n">
        <v>-0.310704244724618</v>
      </c>
      <c r="M197" s="11" t="n">
        <v>0.299419026317876</v>
      </c>
      <c r="N197" s="11" t="n">
        <v>0.131151810190499</v>
      </c>
      <c r="O197" s="12" t="n">
        <v>0.345136397226985</v>
      </c>
      <c r="P197" s="12" t="n">
        <v>0.619255816834851</v>
      </c>
      <c r="Q197" s="4" t="n">
        <f aca="false">RANK(N197,$N$7:$N$307,0)</f>
        <v>191</v>
      </c>
      <c r="R197" s="4" t="n">
        <f aca="false">RANK(O197,$O$7:$O$307,1)</f>
        <v>167</v>
      </c>
      <c r="S197" s="4" t="n">
        <f aca="false">RANK(J197,$J$7:$J$307,0)</f>
        <v>173</v>
      </c>
      <c r="T197" s="4" t="str">
        <f aca="false">IF(O197&lt;0.05,"YES","no")</f>
        <v>no</v>
      </c>
      <c r="U197" s="4" t="str">
        <f aca="false">IF(P197&lt;0.05,"YES","no")</f>
        <v>no</v>
      </c>
      <c r="V197" s="4" t="str">
        <f aca="false">IF(N197&gt;1,"YES","no")</f>
        <v>no</v>
      </c>
    </row>
    <row r="198" customFormat="false" ht="15" hidden="false" customHeight="false" outlineLevel="0" collapsed="false">
      <c r="A198" s="4" t="s">
        <v>308</v>
      </c>
      <c r="B198" s="4"/>
      <c r="C198" s="4" t="s">
        <v>61</v>
      </c>
      <c r="D198" s="8" t="n">
        <v>383.11398</v>
      </c>
      <c r="E198" s="9" t="n">
        <v>10.186</v>
      </c>
      <c r="F198" s="10" t="n">
        <v>1025122.83422216</v>
      </c>
      <c r="G198" s="10" t="n">
        <v>344203.01535649</v>
      </c>
      <c r="H198" s="10" t="n">
        <v>1365924.21598489</v>
      </c>
      <c r="I198" s="10" t="n">
        <v>509911.88507384</v>
      </c>
      <c r="J198" s="10" t="n">
        <v>1180032.55320521</v>
      </c>
      <c r="K198" s="11" t="n">
        <v>1.33244931279023</v>
      </c>
      <c r="L198" s="11" t="n">
        <v>0.414080653001687</v>
      </c>
      <c r="M198" s="11" t="n">
        <v>0.40312495460802</v>
      </c>
      <c r="N198" s="11" t="n">
        <v>0.127686981395391</v>
      </c>
      <c r="O198" s="12" t="n">
        <v>0.244877561329341</v>
      </c>
      <c r="P198" s="12" t="n">
        <v>0.58037910204828</v>
      </c>
      <c r="Q198" s="4" t="n">
        <f aca="false">RANK(N198,$N$7:$N$307,0)</f>
        <v>192</v>
      </c>
      <c r="R198" s="4" t="n">
        <f aca="false">RANK(O198,$O$7:$O$307,1)</f>
        <v>127</v>
      </c>
      <c r="S198" s="4" t="n">
        <f aca="false">RANK(J198,$J$7:$J$307,0)</f>
        <v>206</v>
      </c>
      <c r="T198" s="4" t="str">
        <f aca="false">IF(O198&lt;0.05,"YES","no")</f>
        <v>no</v>
      </c>
      <c r="U198" s="4" t="str">
        <f aca="false">IF(P198&lt;0.05,"YES","no")</f>
        <v>no</v>
      </c>
      <c r="V198" s="4" t="str">
        <f aca="false">IF(N198&gt;1,"YES","no")</f>
        <v>no</v>
      </c>
    </row>
    <row r="199" customFormat="false" ht="15" hidden="false" customHeight="false" outlineLevel="0" collapsed="false">
      <c r="A199" s="4" t="s">
        <v>242</v>
      </c>
      <c r="B199" s="4" t="s">
        <v>243</v>
      </c>
      <c r="C199" s="4" t="s">
        <v>72</v>
      </c>
      <c r="D199" s="8" t="n">
        <v>170.09233</v>
      </c>
      <c r="E199" s="9" t="n">
        <v>11.892</v>
      </c>
      <c r="F199" s="10" t="n">
        <v>2111118.12841787</v>
      </c>
      <c r="G199" s="10" t="n">
        <v>1750052.27740711</v>
      </c>
      <c r="H199" s="10" t="n">
        <v>2317630.40313222</v>
      </c>
      <c r="I199" s="10" t="n">
        <v>1465170.60512986</v>
      </c>
      <c r="J199" s="10" t="n">
        <v>2204987.34419712</v>
      </c>
      <c r="K199" s="11" t="n">
        <v>1.09782127865536</v>
      </c>
      <c r="L199" s="11" t="n">
        <v>0.134643207909397</v>
      </c>
      <c r="M199" s="11" t="n">
        <v>0.0695911740791859</v>
      </c>
      <c r="N199" s="11" t="n">
        <v>0.127480446855168</v>
      </c>
      <c r="O199" s="12" t="n">
        <v>0.836057663170391</v>
      </c>
      <c r="P199" s="12" t="n">
        <v>0.907187464413559</v>
      </c>
      <c r="Q199" s="4" t="n">
        <f aca="false">RANK(N199,$N$7:$N$307,0)</f>
        <v>193</v>
      </c>
      <c r="R199" s="4" t="n">
        <f aca="false">RANK(O199,$O$7:$O$307,1)</f>
        <v>276</v>
      </c>
      <c r="S199" s="4" t="n">
        <f aca="false">RANK(J199,$J$7:$J$307,0)</f>
        <v>169</v>
      </c>
      <c r="T199" s="4" t="str">
        <f aca="false">IF(O199&lt;0.05,"YES","no")</f>
        <v>no</v>
      </c>
      <c r="U199" s="4" t="str">
        <f aca="false">IF(P199&lt;0.05,"YES","no")</f>
        <v>no</v>
      </c>
      <c r="V199" s="4" t="str">
        <f aca="false">IF(N199&gt;1,"YES","no")</f>
        <v>no</v>
      </c>
    </row>
    <row r="200" customFormat="false" ht="15" hidden="false" customHeight="false" outlineLevel="0" collapsed="false">
      <c r="A200" s="4" t="s">
        <v>395</v>
      </c>
      <c r="B200" s="4"/>
      <c r="C200" s="4" t="s">
        <v>72</v>
      </c>
      <c r="D200" s="8" t="n">
        <v>249.12665</v>
      </c>
      <c r="E200" s="9" t="n">
        <v>5.019</v>
      </c>
      <c r="F200" s="10" t="n">
        <v>195524.869744386</v>
      </c>
      <c r="G200" s="10" t="n">
        <v>120442.539129156</v>
      </c>
      <c r="H200" s="10" t="n">
        <v>431648.754269156</v>
      </c>
      <c r="I200" s="10" t="n">
        <v>197364.637277965</v>
      </c>
      <c r="J200" s="10" t="n">
        <v>302853.908164736</v>
      </c>
      <c r="K200" s="11" t="n">
        <v>2.20764118054885</v>
      </c>
      <c r="L200" s="11" t="n">
        <v>1.14250570241045</v>
      </c>
      <c r="M200" s="11" t="n">
        <v>0.632242116718485</v>
      </c>
      <c r="N200" s="11" t="n">
        <v>0.127200190795321</v>
      </c>
      <c r="O200" s="12" t="n">
        <v>0.0555844487450847</v>
      </c>
      <c r="P200" s="12" t="n">
        <v>0.473393770420731</v>
      </c>
      <c r="Q200" s="4" t="n">
        <f aca="false">RANK(N200,$N$7:$N$307,0)</f>
        <v>194</v>
      </c>
      <c r="R200" s="4" t="n">
        <f aca="false">RANK(O200,$O$7:$O$307,1)</f>
        <v>35</v>
      </c>
      <c r="S200" s="4" t="n">
        <f aca="false">RANK(J200,$J$7:$J$307,0)</f>
        <v>262</v>
      </c>
      <c r="T200" s="4" t="str">
        <f aca="false">IF(O200&lt;0.05,"YES","no")</f>
        <v>no</v>
      </c>
      <c r="U200" s="4" t="str">
        <f aca="false">IF(P200&lt;0.05,"YES","no")</f>
        <v>no</v>
      </c>
      <c r="V200" s="4" t="str">
        <f aca="false">IF(N200&gt;1,"YES","no")</f>
        <v>no</v>
      </c>
    </row>
    <row r="201" customFormat="false" ht="15" hidden="false" customHeight="false" outlineLevel="0" collapsed="false">
      <c r="A201" s="4" t="s">
        <v>368</v>
      </c>
      <c r="B201" s="4"/>
      <c r="C201" s="4" t="s">
        <v>61</v>
      </c>
      <c r="D201" s="8" t="n">
        <v>523.99823</v>
      </c>
      <c r="E201" s="9" t="n">
        <v>11.169</v>
      </c>
      <c r="F201" s="10" t="n">
        <v>1746411.71737675</v>
      </c>
      <c r="G201" s="10" t="n">
        <v>619167.717466341</v>
      </c>
      <c r="H201" s="10" t="n">
        <v>1500769.10972146</v>
      </c>
      <c r="I201" s="10" t="n">
        <v>1712467.16755412</v>
      </c>
      <c r="J201" s="10" t="n">
        <v>1634755.98662435</v>
      </c>
      <c r="K201" s="11" t="n">
        <v>0.859344388719362</v>
      </c>
      <c r="L201" s="11" t="n">
        <v>-0.218691676764024</v>
      </c>
      <c r="M201" s="11" t="n">
        <v>0.10915565900436</v>
      </c>
      <c r="N201" s="11" t="n">
        <v>0.125203567009137</v>
      </c>
      <c r="O201" s="12" t="n">
        <v>0.77325827030528</v>
      </c>
      <c r="P201" s="12" t="n">
        <v>0.881631588492005</v>
      </c>
      <c r="Q201" s="4" t="n">
        <f aca="false">RANK(N201,$N$7:$N$307,0)</f>
        <v>195</v>
      </c>
      <c r="R201" s="4" t="n">
        <f aca="false">RANK(O201,$O$7:$O$307,1)</f>
        <v>264</v>
      </c>
      <c r="S201" s="4" t="n">
        <f aca="false">RANK(J201,$J$7:$J$307,0)</f>
        <v>192</v>
      </c>
      <c r="T201" s="4" t="str">
        <f aca="false">IF(O201&lt;0.05,"YES","no")</f>
        <v>no</v>
      </c>
      <c r="U201" s="4" t="str">
        <f aca="false">IF(P201&lt;0.05,"YES","no")</f>
        <v>no</v>
      </c>
      <c r="V201" s="4" t="str">
        <f aca="false">IF(N201&gt;1,"YES","no")</f>
        <v>no</v>
      </c>
    </row>
    <row r="202" customFormat="false" ht="15" hidden="false" customHeight="false" outlineLevel="0" collapsed="false">
      <c r="A202" s="4" t="s">
        <v>262</v>
      </c>
      <c r="B202" s="4"/>
      <c r="C202" s="4" t="s">
        <v>72</v>
      </c>
      <c r="D202" s="8" t="n">
        <v>290.1347</v>
      </c>
      <c r="E202" s="9" t="n">
        <v>9.152</v>
      </c>
      <c r="F202" s="10" t="n">
        <v>711390.526880333</v>
      </c>
      <c r="G202" s="10" t="n">
        <v>164519.095114185</v>
      </c>
      <c r="H202" s="10" t="n">
        <v>1007921.38641801</v>
      </c>
      <c r="I202" s="10" t="n">
        <v>402277.864439775</v>
      </c>
      <c r="J202" s="10" t="n">
        <v>846177.281215643</v>
      </c>
      <c r="K202" s="11" t="n">
        <v>1.41683273579431</v>
      </c>
      <c r="L202" s="11" t="n">
        <v>0.502669450928116</v>
      </c>
      <c r="M202" s="11" t="n">
        <v>0.484297767326988</v>
      </c>
      <c r="N202" s="11" t="n">
        <v>0.124808042180085</v>
      </c>
      <c r="O202" s="12" t="n">
        <v>0.181921580930297</v>
      </c>
      <c r="P202" s="12" t="n">
        <v>0.545793274011047</v>
      </c>
      <c r="Q202" s="4" t="n">
        <f aca="false">RANK(N202,$N$7:$N$307,0)</f>
        <v>196</v>
      </c>
      <c r="R202" s="4" t="n">
        <f aca="false">RANK(O202,$O$7:$O$307,1)</f>
        <v>98</v>
      </c>
      <c r="S202" s="4" t="n">
        <f aca="false">RANK(J202,$J$7:$J$307,0)</f>
        <v>224</v>
      </c>
      <c r="T202" s="4" t="str">
        <f aca="false">IF(O202&lt;0.05,"YES","no")</f>
        <v>no</v>
      </c>
      <c r="U202" s="4" t="str">
        <f aca="false">IF(P202&lt;0.05,"YES","no")</f>
        <v>no</v>
      </c>
      <c r="V202" s="4" t="str">
        <f aca="false">IF(N202&gt;1,"YES","no")</f>
        <v>no</v>
      </c>
    </row>
    <row r="203" customFormat="false" ht="15" hidden="false" customHeight="false" outlineLevel="0" collapsed="false">
      <c r="A203" s="4" t="s">
        <v>268</v>
      </c>
      <c r="B203" s="4"/>
      <c r="C203" s="4" t="s">
        <v>72</v>
      </c>
      <c r="D203" s="8" t="n">
        <v>96.04431</v>
      </c>
      <c r="E203" s="9" t="n">
        <v>6.894</v>
      </c>
      <c r="F203" s="10" t="n">
        <v>2939341.42138414</v>
      </c>
      <c r="G203" s="10" t="n">
        <v>202933.160889686</v>
      </c>
      <c r="H203" s="10" t="n">
        <v>3207773.71903508</v>
      </c>
      <c r="I203" s="10" t="n">
        <v>252870.955259736</v>
      </c>
      <c r="J203" s="10" t="n">
        <v>3061356.10213457</v>
      </c>
      <c r="K203" s="11" t="n">
        <v>1.0913239597476</v>
      </c>
      <c r="L203" s="11" t="n">
        <v>0.126079429566422</v>
      </c>
      <c r="M203" s="11" t="n">
        <v>0.546411729769821</v>
      </c>
      <c r="N203" s="11" t="n">
        <v>0.124694309595368</v>
      </c>
      <c r="O203" s="12" t="n">
        <v>0.0933863936204673</v>
      </c>
      <c r="P203" s="12" t="n">
        <v>0.486863080767276</v>
      </c>
      <c r="Q203" s="4" t="n">
        <f aca="false">RANK(N203,$N$7:$N$307,0)</f>
        <v>197</v>
      </c>
      <c r="R203" s="4" t="n">
        <f aca="false">RANK(O203,$O$7:$O$307,1)</f>
        <v>57</v>
      </c>
      <c r="S203" s="4" t="n">
        <f aca="false">RANK(J203,$J$7:$J$307,0)</f>
        <v>155</v>
      </c>
      <c r="T203" s="4" t="str">
        <f aca="false">IF(O203&lt;0.05,"YES","no")</f>
        <v>no</v>
      </c>
      <c r="U203" s="4" t="str">
        <f aca="false">IF(P203&lt;0.05,"YES","no")</f>
        <v>no</v>
      </c>
      <c r="V203" s="4" t="str">
        <f aca="false">IF(N203&gt;1,"YES","no")</f>
        <v>no</v>
      </c>
    </row>
    <row r="204" customFormat="false" ht="15" hidden="false" customHeight="false" outlineLevel="0" collapsed="false">
      <c r="A204" s="4" t="s">
        <v>349</v>
      </c>
      <c r="B204" s="4"/>
      <c r="C204" s="4" t="s">
        <v>72</v>
      </c>
      <c r="D204" s="8" t="n">
        <v>428.03662</v>
      </c>
      <c r="E204" s="9" t="n">
        <v>11.929</v>
      </c>
      <c r="F204" s="10" t="n">
        <v>2906347.60557556</v>
      </c>
      <c r="G204" s="10" t="n">
        <v>3903778.68795201</v>
      </c>
      <c r="H204" s="10" t="n">
        <v>3823610.71029436</v>
      </c>
      <c r="I204" s="10" t="n">
        <v>3697744.93159764</v>
      </c>
      <c r="J204" s="10" t="n">
        <v>3323285.38044774</v>
      </c>
      <c r="K204" s="11" t="n">
        <v>1.31560681281176</v>
      </c>
      <c r="L204" s="11" t="n">
        <v>0.395728384237833</v>
      </c>
      <c r="M204" s="11" t="n">
        <v>0.131259264031415</v>
      </c>
      <c r="N204" s="11" t="n">
        <v>0.124428283105584</v>
      </c>
      <c r="O204" s="12" t="n">
        <v>0.699118278511866</v>
      </c>
      <c r="P204" s="12" t="n">
        <v>0.84736550711314</v>
      </c>
      <c r="Q204" s="4" t="n">
        <f aca="false">RANK(N204,$N$7:$N$307,0)</f>
        <v>198</v>
      </c>
      <c r="R204" s="4" t="n">
        <f aca="false">RANK(O204,$O$7:$O$307,1)</f>
        <v>248</v>
      </c>
      <c r="S204" s="4" t="n">
        <f aca="false">RANK(J204,$J$7:$J$307,0)</f>
        <v>148</v>
      </c>
      <c r="T204" s="4" t="str">
        <f aca="false">IF(O204&lt;0.05,"YES","no")</f>
        <v>no</v>
      </c>
      <c r="U204" s="4" t="str">
        <f aca="false">IF(P204&lt;0.05,"YES","no")</f>
        <v>no</v>
      </c>
      <c r="V204" s="4" t="str">
        <f aca="false">IF(N204&gt;1,"YES","no")</f>
        <v>no</v>
      </c>
    </row>
    <row r="205" customFormat="false" ht="15" hidden="false" customHeight="false" outlineLevel="0" collapsed="false">
      <c r="A205" s="4" t="s">
        <v>170</v>
      </c>
      <c r="B205" s="4" t="s">
        <v>171</v>
      </c>
      <c r="C205" s="4" t="s">
        <v>61</v>
      </c>
      <c r="D205" s="8" t="n">
        <v>198.09724</v>
      </c>
      <c r="E205" s="9" t="n">
        <v>10.928</v>
      </c>
      <c r="F205" s="10" t="n">
        <v>986973.587640651</v>
      </c>
      <c r="G205" s="10" t="n">
        <v>412059.402504142</v>
      </c>
      <c r="H205" s="10" t="n">
        <v>642538.845570597</v>
      </c>
      <c r="I205" s="10" t="n">
        <v>433001.96926582</v>
      </c>
      <c r="J205" s="10" t="n">
        <v>830412.341245172</v>
      </c>
      <c r="K205" s="11" t="n">
        <v>0.651019291313134</v>
      </c>
      <c r="L205" s="11" t="n">
        <v>-0.619227800237729</v>
      </c>
      <c r="M205" s="11" t="n">
        <v>0.410242362304657</v>
      </c>
      <c r="N205" s="11" t="n">
        <v>0.12237273038728</v>
      </c>
      <c r="O205" s="12" t="n">
        <v>0.214253921214756</v>
      </c>
      <c r="P205" s="12" t="n">
        <v>0.545793274011047</v>
      </c>
      <c r="Q205" s="4" t="n">
        <f aca="false">RANK(N205,$N$7:$N$307,0)</f>
        <v>199</v>
      </c>
      <c r="R205" s="4" t="n">
        <f aca="false">RANK(O205,$O$7:$O$307,1)</f>
        <v>118</v>
      </c>
      <c r="S205" s="4" t="n">
        <f aca="false">RANK(J205,$J$7:$J$307,0)</f>
        <v>225</v>
      </c>
      <c r="T205" s="4" t="str">
        <f aca="false">IF(O205&lt;0.05,"YES","no")</f>
        <v>no</v>
      </c>
      <c r="U205" s="4" t="str">
        <f aca="false">IF(P205&lt;0.05,"YES","no")</f>
        <v>no</v>
      </c>
      <c r="V205" s="4" t="str">
        <f aca="false">IF(N205&gt;1,"YES","no")</f>
        <v>no</v>
      </c>
    </row>
    <row r="206" customFormat="false" ht="15" hidden="false" customHeight="false" outlineLevel="0" collapsed="false">
      <c r="A206" s="4" t="s">
        <v>232</v>
      </c>
      <c r="B206" s="4" t="s">
        <v>233</v>
      </c>
      <c r="C206" s="4" t="s">
        <v>61</v>
      </c>
      <c r="D206" s="8" t="n">
        <v>152.05666</v>
      </c>
      <c r="E206" s="9" t="n">
        <v>10.281</v>
      </c>
      <c r="F206" s="10" t="n">
        <v>8058393.78975662</v>
      </c>
      <c r="G206" s="10" t="n">
        <v>1357173.37321301</v>
      </c>
      <c r="H206" s="10" t="n">
        <v>8201070.66740968</v>
      </c>
      <c r="I206" s="10" t="n">
        <v>1411167.6670868</v>
      </c>
      <c r="J206" s="10" t="n">
        <v>8123246.91596256</v>
      </c>
      <c r="K206" s="11" t="n">
        <v>1.01770537421917</v>
      </c>
      <c r="L206" s="11" t="n">
        <v>0.0253199615376387</v>
      </c>
      <c r="M206" s="11" t="n">
        <v>0.0567631530559521</v>
      </c>
      <c r="N206" s="11" t="n">
        <v>0.120913872717455</v>
      </c>
      <c r="O206" s="12" t="n">
        <v>0.869067280863443</v>
      </c>
      <c r="P206" s="12" t="n">
        <v>0.917857022947004</v>
      </c>
      <c r="Q206" s="4" t="n">
        <f aca="false">RANK(N206,$N$7:$N$307,0)</f>
        <v>200</v>
      </c>
      <c r="R206" s="4" t="n">
        <f aca="false">RANK(O206,$O$7:$O$307,1)</f>
        <v>285</v>
      </c>
      <c r="S206" s="4" t="n">
        <f aca="false">RANK(J206,$J$7:$J$307,0)</f>
        <v>109</v>
      </c>
      <c r="T206" s="4" t="str">
        <f aca="false">IF(O206&lt;0.05,"YES","no")</f>
        <v>no</v>
      </c>
      <c r="U206" s="4" t="str">
        <f aca="false">IF(P206&lt;0.05,"YES","no")</f>
        <v>no</v>
      </c>
      <c r="V206" s="4" t="str">
        <f aca="false">IF(N206&gt;1,"YES","no")</f>
        <v>no</v>
      </c>
    </row>
    <row r="207" customFormat="false" ht="15" hidden="false" customHeight="false" outlineLevel="0" collapsed="false">
      <c r="A207" s="4" t="s">
        <v>304</v>
      </c>
      <c r="B207" s="4"/>
      <c r="C207" s="4" t="s">
        <v>61</v>
      </c>
      <c r="D207" s="8" t="n">
        <v>130.04979</v>
      </c>
      <c r="E207" s="9" t="n">
        <v>7.367</v>
      </c>
      <c r="F207" s="10" t="n">
        <v>630654.813873259</v>
      </c>
      <c r="G207" s="10" t="n">
        <v>129093.967015775</v>
      </c>
      <c r="H207" s="10" t="n">
        <v>838812.415104585</v>
      </c>
      <c r="I207" s="10" t="n">
        <v>185743.592664156</v>
      </c>
      <c r="J207" s="10" t="n">
        <v>725271.905342044</v>
      </c>
      <c r="K207" s="11" t="n">
        <v>1.33006582468291</v>
      </c>
      <c r="L207" s="11" t="n">
        <v>0.411497646172833</v>
      </c>
      <c r="M207" s="11" t="n">
        <v>0.589978644628162</v>
      </c>
      <c r="N207" s="11" t="n">
        <v>0.117699326284085</v>
      </c>
      <c r="O207" s="12" t="n">
        <v>0.072345891825095</v>
      </c>
      <c r="P207" s="12" t="n">
        <v>0.473393770420731</v>
      </c>
      <c r="Q207" s="4" t="n">
        <f aca="false">RANK(N207,$N$7:$N$307,0)</f>
        <v>201</v>
      </c>
      <c r="R207" s="4" t="n">
        <f aca="false">RANK(O207,$O$7:$O$307,1)</f>
        <v>46</v>
      </c>
      <c r="S207" s="4" t="n">
        <f aca="false">RANK(J207,$J$7:$J$307,0)</f>
        <v>231</v>
      </c>
      <c r="T207" s="4" t="str">
        <f aca="false">IF(O207&lt;0.05,"YES","no")</f>
        <v>no</v>
      </c>
      <c r="U207" s="4" t="str">
        <f aca="false">IF(P207&lt;0.05,"YES","no")</f>
        <v>no</v>
      </c>
      <c r="V207" s="4" t="str">
        <f aca="false">IF(N207&gt;1,"YES","no")</f>
        <v>no</v>
      </c>
    </row>
    <row r="208" customFormat="false" ht="15" hidden="false" customHeight="false" outlineLevel="0" collapsed="false">
      <c r="A208" s="4" t="s">
        <v>302</v>
      </c>
      <c r="B208" s="4"/>
      <c r="C208" s="4" t="s">
        <v>61</v>
      </c>
      <c r="D208" s="8" t="n">
        <v>173.08244</v>
      </c>
      <c r="E208" s="9" t="n">
        <v>8.269</v>
      </c>
      <c r="F208" s="10" t="n">
        <v>562910.848768379</v>
      </c>
      <c r="G208" s="10" t="n">
        <v>272118.194315436</v>
      </c>
      <c r="H208" s="10" t="n">
        <v>866840.554431364</v>
      </c>
      <c r="I208" s="10" t="n">
        <v>544734.142264752</v>
      </c>
      <c r="J208" s="10" t="n">
        <v>701060.714978827</v>
      </c>
      <c r="K208" s="11" t="n">
        <v>1.53992511661122</v>
      </c>
      <c r="L208" s="11" t="n">
        <v>0.622860197335545</v>
      </c>
      <c r="M208" s="11" t="n">
        <v>0.373168496104986</v>
      </c>
      <c r="N208" s="11" t="n">
        <v>0.116414099374862</v>
      </c>
      <c r="O208" s="12" t="n">
        <v>0.30223259287458</v>
      </c>
      <c r="P208" s="12" t="n">
        <v>0.611679337278413</v>
      </c>
      <c r="Q208" s="4" t="n">
        <f aca="false">RANK(N208,$N$7:$N$307,0)</f>
        <v>202</v>
      </c>
      <c r="R208" s="4" t="n">
        <f aca="false">RANK(O208,$O$7:$O$307,1)</f>
        <v>147</v>
      </c>
      <c r="S208" s="4" t="n">
        <f aca="false">RANK(J208,$J$7:$J$307,0)</f>
        <v>232</v>
      </c>
      <c r="T208" s="4" t="str">
        <f aca="false">IF(O208&lt;0.05,"YES","no")</f>
        <v>no</v>
      </c>
      <c r="U208" s="4" t="str">
        <f aca="false">IF(P208&lt;0.05,"YES","no")</f>
        <v>no</v>
      </c>
      <c r="V208" s="4" t="str">
        <f aca="false">IF(N208&gt;1,"YES","no")</f>
        <v>no</v>
      </c>
    </row>
    <row r="209" customFormat="false" ht="15" hidden="false" customHeight="false" outlineLevel="0" collapsed="false">
      <c r="A209" s="4" t="s">
        <v>192</v>
      </c>
      <c r="B209" s="4"/>
      <c r="C209" s="4" t="s">
        <v>61</v>
      </c>
      <c r="D209" s="8" t="n">
        <v>212.00228</v>
      </c>
      <c r="E209" s="9" t="n">
        <v>5.005</v>
      </c>
      <c r="F209" s="10" t="n">
        <v>1583217.75557245</v>
      </c>
      <c r="G209" s="10" t="n">
        <v>472690.752133937</v>
      </c>
      <c r="H209" s="10" t="n">
        <v>1897534.63284782</v>
      </c>
      <c r="I209" s="10" t="n">
        <v>570828.619685919</v>
      </c>
      <c r="J209" s="10" t="n">
        <v>1726089.06342489</v>
      </c>
      <c r="K209" s="11" t="n">
        <v>1.19853041451125</v>
      </c>
      <c r="L209" s="11" t="n">
        <v>0.261266520007322</v>
      </c>
      <c r="M209" s="11" t="n">
        <v>0.31648667429832</v>
      </c>
      <c r="N209" s="11" t="n">
        <v>0.115138943413676</v>
      </c>
      <c r="O209" s="12" t="n">
        <v>0.3553659868142</v>
      </c>
      <c r="P209" s="12" t="n">
        <v>0.623654674242459</v>
      </c>
      <c r="Q209" s="4" t="n">
        <f aca="false">RANK(N209,$N$7:$N$307,0)</f>
        <v>203</v>
      </c>
      <c r="R209" s="4" t="n">
        <f aca="false">RANK(O209,$O$7:$O$307,1)</f>
        <v>171</v>
      </c>
      <c r="S209" s="4" t="n">
        <f aca="false">RANK(J209,$J$7:$J$307,0)</f>
        <v>187</v>
      </c>
      <c r="T209" s="4" t="str">
        <f aca="false">IF(O209&lt;0.05,"YES","no")</f>
        <v>no</v>
      </c>
      <c r="U209" s="4" t="str">
        <f aca="false">IF(P209&lt;0.05,"YES","no")</f>
        <v>no</v>
      </c>
      <c r="V209" s="4" t="str">
        <f aca="false">IF(N209&gt;1,"YES","no")</f>
        <v>no</v>
      </c>
    </row>
    <row r="210" customFormat="false" ht="15" hidden="false" customHeight="false" outlineLevel="0" collapsed="false">
      <c r="A210" s="4" t="s">
        <v>270</v>
      </c>
      <c r="B210" s="4"/>
      <c r="C210" s="4" t="s">
        <v>61</v>
      </c>
      <c r="D210" s="8" t="n">
        <v>181.0507</v>
      </c>
      <c r="E210" s="9" t="n">
        <v>6.87</v>
      </c>
      <c r="F210" s="10" t="n">
        <v>1594130.72037665</v>
      </c>
      <c r="G210" s="10" t="n">
        <v>922998.705121521</v>
      </c>
      <c r="H210" s="10" t="n">
        <v>1724078.09085738</v>
      </c>
      <c r="I210" s="10" t="n">
        <v>826649.233879646</v>
      </c>
      <c r="J210" s="10" t="n">
        <v>1653197.7069588</v>
      </c>
      <c r="K210" s="11" t="n">
        <v>1.08151613215887</v>
      </c>
      <c r="L210" s="11" t="n">
        <v>0.113055185052101</v>
      </c>
      <c r="M210" s="11" t="n">
        <v>0.0808860735430303</v>
      </c>
      <c r="N210" s="11" t="n">
        <v>0.114877450551276</v>
      </c>
      <c r="O210" s="12" t="n">
        <v>0.811120913882814</v>
      </c>
      <c r="P210" s="12" t="n">
        <v>0.897600717201202</v>
      </c>
      <c r="Q210" s="4" t="n">
        <f aca="false">RANK(N210,$N$7:$N$307,0)</f>
        <v>204</v>
      </c>
      <c r="R210" s="4" t="n">
        <f aca="false">RANK(O210,$O$7:$O$307,1)</f>
        <v>272</v>
      </c>
      <c r="S210" s="4" t="n">
        <f aca="false">RANK(J210,$J$7:$J$307,0)</f>
        <v>190</v>
      </c>
      <c r="T210" s="4" t="str">
        <f aca="false">IF(O210&lt;0.05,"YES","no")</f>
        <v>no</v>
      </c>
      <c r="U210" s="4" t="str">
        <f aca="false">IF(P210&lt;0.05,"YES","no")</f>
        <v>no</v>
      </c>
      <c r="V210" s="4" t="str">
        <f aca="false">IF(N210&gt;1,"YES","no")</f>
        <v>no</v>
      </c>
    </row>
    <row r="211" customFormat="false" ht="15" hidden="false" customHeight="false" outlineLevel="0" collapsed="false">
      <c r="A211" s="4" t="s">
        <v>387</v>
      </c>
      <c r="B211" s="4"/>
      <c r="C211" s="4" t="s">
        <v>72</v>
      </c>
      <c r="D211" s="8" t="n">
        <v>330.06001</v>
      </c>
      <c r="E211" s="9" t="n">
        <v>7.481</v>
      </c>
      <c r="F211" s="10" t="n">
        <v>535434.495555892</v>
      </c>
      <c r="G211" s="10" t="n">
        <v>196446.422063191</v>
      </c>
      <c r="H211" s="10" t="n">
        <v>782669.557015645</v>
      </c>
      <c r="I211" s="10" t="n">
        <v>331516.56660373</v>
      </c>
      <c r="J211" s="10" t="n">
        <v>647814.068946688</v>
      </c>
      <c r="K211" s="11" t="n">
        <v>1.46174660674986</v>
      </c>
      <c r="L211" s="11" t="n">
        <v>0.547693242296375</v>
      </c>
      <c r="M211" s="11" t="n">
        <v>0.456695273614284</v>
      </c>
      <c r="N211" s="11" t="n">
        <v>0.113981649208874</v>
      </c>
      <c r="O211" s="12" t="n">
        <v>0.19084134378909</v>
      </c>
      <c r="P211" s="12" t="n">
        <v>0.545793274011047</v>
      </c>
      <c r="Q211" s="4" t="n">
        <f aca="false">RANK(N211,$N$7:$N$307,0)</f>
        <v>205</v>
      </c>
      <c r="R211" s="4" t="n">
        <f aca="false">RANK(O211,$O$7:$O$307,1)</f>
        <v>101</v>
      </c>
      <c r="S211" s="4" t="n">
        <f aca="false">RANK(J211,$J$7:$J$307,0)</f>
        <v>235</v>
      </c>
      <c r="T211" s="4" t="str">
        <f aca="false">IF(O211&lt;0.05,"YES","no")</f>
        <v>no</v>
      </c>
      <c r="U211" s="4" t="str">
        <f aca="false">IF(P211&lt;0.05,"YES","no")</f>
        <v>no</v>
      </c>
      <c r="V211" s="4" t="str">
        <f aca="false">IF(N211&gt;1,"YES","no")</f>
        <v>no</v>
      </c>
    </row>
    <row r="212" customFormat="false" ht="15" hidden="false" customHeight="false" outlineLevel="0" collapsed="false">
      <c r="A212" s="4" t="s">
        <v>342</v>
      </c>
      <c r="B212" s="4"/>
      <c r="C212" s="4" t="s">
        <v>61</v>
      </c>
      <c r="D212" s="8" t="n">
        <v>184.9855</v>
      </c>
      <c r="E212" s="9" t="n">
        <v>10.148</v>
      </c>
      <c r="F212" s="10" t="n">
        <v>2014587.99533198</v>
      </c>
      <c r="G212" s="10" t="n">
        <v>757689.094109208</v>
      </c>
      <c r="H212" s="10" t="n">
        <v>1643962.97034624</v>
      </c>
      <c r="I212" s="10" t="n">
        <v>375644.875283177</v>
      </c>
      <c r="J212" s="10" t="n">
        <v>1846122.07488392</v>
      </c>
      <c r="K212" s="11" t="n">
        <v>0.816029368861267</v>
      </c>
      <c r="L212" s="11" t="n">
        <v>-0.29330701922485</v>
      </c>
      <c r="M212" s="11" t="n">
        <v>0.313590964697633</v>
      </c>
      <c r="N212" s="11" t="n">
        <v>0.113475609529121</v>
      </c>
      <c r="O212" s="12" t="n">
        <v>0.324857871439317</v>
      </c>
      <c r="P212" s="12" t="n">
        <v>0.617704034920547</v>
      </c>
      <c r="Q212" s="4" t="n">
        <f aca="false">RANK(N212,$N$7:$N$307,0)</f>
        <v>206</v>
      </c>
      <c r="R212" s="4" t="n">
        <f aca="false">RANK(O212,$O$7:$O$307,1)</f>
        <v>154</v>
      </c>
      <c r="S212" s="4" t="n">
        <f aca="false">RANK(J212,$J$7:$J$307,0)</f>
        <v>181</v>
      </c>
      <c r="T212" s="4" t="str">
        <f aca="false">IF(O212&lt;0.05,"YES","no")</f>
        <v>no</v>
      </c>
      <c r="U212" s="4" t="str">
        <f aca="false">IF(P212&lt;0.05,"YES","no")</f>
        <v>no</v>
      </c>
      <c r="V212" s="4" t="str">
        <f aca="false">IF(N212&gt;1,"YES","no")</f>
        <v>no</v>
      </c>
    </row>
    <row r="213" customFormat="false" ht="15" hidden="false" customHeight="false" outlineLevel="0" collapsed="false">
      <c r="A213" s="4" t="s">
        <v>327</v>
      </c>
      <c r="B213" s="4"/>
      <c r="C213" s="4" t="s">
        <v>72</v>
      </c>
      <c r="D213" s="8" t="n">
        <v>275.01716</v>
      </c>
      <c r="E213" s="9" t="n">
        <v>10.27</v>
      </c>
      <c r="F213" s="10" t="n">
        <v>842173.351334069</v>
      </c>
      <c r="G213" s="10" t="n">
        <v>381476.451278174</v>
      </c>
      <c r="H213" s="10" t="n">
        <v>1096720.09841106</v>
      </c>
      <c r="I213" s="10" t="n">
        <v>763946.518240149</v>
      </c>
      <c r="J213" s="10" t="n">
        <v>957876.418187245</v>
      </c>
      <c r="K213" s="11" t="n">
        <v>1.30224982383231</v>
      </c>
      <c r="L213" s="11" t="n">
        <v>0.38100624192158</v>
      </c>
      <c r="M213" s="11" t="n">
        <v>0.233582589897046</v>
      </c>
      <c r="N213" s="11" t="n">
        <v>0.112434501515622</v>
      </c>
      <c r="O213" s="12" t="n">
        <v>0.524625575930566</v>
      </c>
      <c r="P213" s="12" t="n">
        <v>0.718352458764677</v>
      </c>
      <c r="Q213" s="4" t="n">
        <f aca="false">RANK(N213,$N$7:$N$307,0)</f>
        <v>207</v>
      </c>
      <c r="R213" s="4" t="n">
        <f aca="false">RANK(O213,$O$7:$O$307,1)</f>
        <v>219</v>
      </c>
      <c r="S213" s="4" t="n">
        <f aca="false">RANK(J213,$J$7:$J$307,0)</f>
        <v>218</v>
      </c>
      <c r="T213" s="4" t="str">
        <f aca="false">IF(O213&lt;0.05,"YES","no")</f>
        <v>no</v>
      </c>
      <c r="U213" s="4" t="str">
        <f aca="false">IF(P213&lt;0.05,"YES","no")</f>
        <v>no</v>
      </c>
      <c r="V213" s="4" t="str">
        <f aca="false">IF(N213&gt;1,"YES","no")</f>
        <v>no</v>
      </c>
    </row>
    <row r="214" customFormat="false" ht="15" hidden="false" customHeight="false" outlineLevel="0" collapsed="false">
      <c r="A214" s="4" t="s">
        <v>175</v>
      </c>
      <c r="B214" s="4"/>
      <c r="C214" s="4" t="s">
        <v>61</v>
      </c>
      <c r="D214" s="8" t="n">
        <v>168.06543</v>
      </c>
      <c r="E214" s="9" t="n">
        <v>7.711</v>
      </c>
      <c r="F214" s="10" t="n">
        <v>741869.954954254</v>
      </c>
      <c r="G214" s="10" t="n">
        <v>756427.639265556</v>
      </c>
      <c r="H214" s="10" t="n">
        <v>1122559.2896835</v>
      </c>
      <c r="I214" s="10" t="n">
        <v>570232.966571837</v>
      </c>
      <c r="J214" s="10" t="n">
        <v>914910.561649366</v>
      </c>
      <c r="K214" s="11" t="n">
        <v>1.51314833844797</v>
      </c>
      <c r="L214" s="11" t="n">
        <v>0.597553426188515</v>
      </c>
      <c r="M214" s="11" t="n">
        <v>0.294512569125517</v>
      </c>
      <c r="N214" s="11" t="n">
        <v>0.11143770832432</v>
      </c>
      <c r="O214" s="12" t="n">
        <v>0.366810200138519</v>
      </c>
      <c r="P214" s="12" t="n">
        <v>0.625840523720162</v>
      </c>
      <c r="Q214" s="4" t="n">
        <f aca="false">RANK(N214,$N$7:$N$307,0)</f>
        <v>208</v>
      </c>
      <c r="R214" s="4" t="n">
        <f aca="false">RANK(O214,$O$7:$O$307,1)</f>
        <v>176</v>
      </c>
      <c r="S214" s="4" t="n">
        <f aca="false">RANK(J214,$J$7:$J$307,0)</f>
        <v>219</v>
      </c>
      <c r="T214" s="4" t="str">
        <f aca="false">IF(O214&lt;0.05,"YES","no")</f>
        <v>no</v>
      </c>
      <c r="U214" s="4" t="str">
        <f aca="false">IF(P214&lt;0.05,"YES","no")</f>
        <v>no</v>
      </c>
      <c r="V214" s="4" t="str">
        <f aca="false">IF(N214&gt;1,"YES","no")</f>
        <v>no</v>
      </c>
    </row>
    <row r="215" customFormat="false" ht="15" hidden="false" customHeight="false" outlineLevel="0" collapsed="false">
      <c r="A215" s="4" t="s">
        <v>366</v>
      </c>
      <c r="B215" s="4"/>
      <c r="C215" s="4" t="s">
        <v>72</v>
      </c>
      <c r="D215" s="8" t="n">
        <v>400.34208</v>
      </c>
      <c r="E215" s="9" t="n">
        <v>6.806</v>
      </c>
      <c r="F215" s="10" t="n">
        <v>994992.838553908</v>
      </c>
      <c r="G215" s="10" t="n">
        <v>729516.803691599</v>
      </c>
      <c r="H215" s="10" t="n">
        <v>671617.131496216</v>
      </c>
      <c r="I215" s="10" t="n">
        <v>424639.237396014</v>
      </c>
      <c r="J215" s="10" t="n">
        <v>848003.880800412</v>
      </c>
      <c r="K215" s="11" t="n">
        <v>0.674996950201495</v>
      </c>
      <c r="L215" s="11" t="n">
        <v>-0.567047111152219</v>
      </c>
      <c r="M215" s="11" t="n">
        <v>0.278862391580753</v>
      </c>
      <c r="N215" s="11" t="n">
        <v>0.110822962001278</v>
      </c>
      <c r="O215" s="12" t="n">
        <v>0.386058612475291</v>
      </c>
      <c r="P215" s="12" t="n">
        <v>0.631541534538384</v>
      </c>
      <c r="Q215" s="4" t="n">
        <f aca="false">RANK(N215,$N$7:$N$307,0)</f>
        <v>209</v>
      </c>
      <c r="R215" s="4" t="n">
        <f aca="false">RANK(O215,$O$7:$O$307,1)</f>
        <v>184</v>
      </c>
      <c r="S215" s="4" t="n">
        <f aca="false">RANK(J215,$J$7:$J$307,0)</f>
        <v>223</v>
      </c>
      <c r="T215" s="4" t="str">
        <f aca="false">IF(O215&lt;0.05,"YES","no")</f>
        <v>no</v>
      </c>
      <c r="U215" s="4" t="str">
        <f aca="false">IF(P215&lt;0.05,"YES","no")</f>
        <v>no</v>
      </c>
      <c r="V215" s="4" t="str">
        <f aca="false">IF(N215&gt;1,"YES","no")</f>
        <v>no</v>
      </c>
    </row>
    <row r="216" customFormat="false" ht="15" hidden="false" customHeight="false" outlineLevel="0" collapsed="false">
      <c r="A216" s="4" t="s">
        <v>204</v>
      </c>
      <c r="B216" s="4"/>
      <c r="C216" s="4" t="s">
        <v>61</v>
      </c>
      <c r="D216" s="8" t="n">
        <v>163.06138</v>
      </c>
      <c r="E216" s="9" t="n">
        <v>9.626</v>
      </c>
      <c r="F216" s="10" t="n">
        <v>1878375.93640989</v>
      </c>
      <c r="G216" s="10" t="n">
        <v>314548.995258627</v>
      </c>
      <c r="H216" s="10" t="n">
        <v>2116346.85174539</v>
      </c>
      <c r="I216" s="10" t="n">
        <v>148860.308692003</v>
      </c>
      <c r="J216" s="10" t="n">
        <v>1986544.53428966</v>
      </c>
      <c r="K216" s="11" t="n">
        <v>1.12668971675091</v>
      </c>
      <c r="L216" s="11" t="n">
        <v>0.172090261084001</v>
      </c>
      <c r="M216" s="11" t="n">
        <v>0.45753269815472</v>
      </c>
      <c r="N216" s="11" t="n">
        <v>0.110435179461145</v>
      </c>
      <c r="O216" s="12" t="n">
        <v>0.141700744973194</v>
      </c>
      <c r="P216" s="12" t="n">
        <v>0.513878605264234</v>
      </c>
      <c r="Q216" s="4" t="n">
        <f aca="false">RANK(N216,$N$7:$N$307,0)</f>
        <v>210</v>
      </c>
      <c r="R216" s="4" t="n">
        <f aca="false">RANK(O216,$O$7:$O$307,1)</f>
        <v>83</v>
      </c>
      <c r="S216" s="4" t="n">
        <f aca="false">RANK(J216,$J$7:$J$307,0)</f>
        <v>174</v>
      </c>
      <c r="T216" s="4" t="str">
        <f aca="false">IF(O216&lt;0.05,"YES","no")</f>
        <v>no</v>
      </c>
      <c r="U216" s="4" t="str">
        <f aca="false">IF(P216&lt;0.05,"YES","no")</f>
        <v>no</v>
      </c>
      <c r="V216" s="4" t="str">
        <f aca="false">IF(N216&gt;1,"YES","no")</f>
        <v>no</v>
      </c>
    </row>
    <row r="217" customFormat="false" ht="15" hidden="false" customHeight="false" outlineLevel="0" collapsed="false">
      <c r="A217" s="4" t="s">
        <v>277</v>
      </c>
      <c r="B217" s="4" t="s">
        <v>278</v>
      </c>
      <c r="C217" s="4" t="s">
        <v>72</v>
      </c>
      <c r="D217" s="8" t="n">
        <v>141.06581</v>
      </c>
      <c r="E217" s="9" t="n">
        <v>8.483</v>
      </c>
      <c r="F217" s="10" t="n">
        <v>1662793.34166851</v>
      </c>
      <c r="G217" s="10" t="n">
        <v>508242.364080344</v>
      </c>
      <c r="H217" s="10" t="n">
        <v>2009298.4363593</v>
      </c>
      <c r="I217" s="10" t="n">
        <v>636395.868678556</v>
      </c>
      <c r="J217" s="10" t="n">
        <v>1820295.65743705</v>
      </c>
      <c r="K217" s="11" t="n">
        <v>1.20838734796899</v>
      </c>
      <c r="L217" s="11" t="n">
        <v>0.273082983983231</v>
      </c>
      <c r="M217" s="11" t="n">
        <v>0.317956912925201</v>
      </c>
      <c r="N217" s="11" t="n">
        <v>0.108340082371544</v>
      </c>
      <c r="O217" s="12" t="n">
        <v>0.355289062529442</v>
      </c>
      <c r="P217" s="12" t="n">
        <v>0.623654674242459</v>
      </c>
      <c r="Q217" s="4" t="n">
        <f aca="false">RANK(N217,$N$7:$N$307,0)</f>
        <v>211</v>
      </c>
      <c r="R217" s="4" t="n">
        <f aca="false">RANK(O217,$O$7:$O$307,1)</f>
        <v>170</v>
      </c>
      <c r="S217" s="4" t="n">
        <f aca="false">RANK(J217,$J$7:$J$307,0)</f>
        <v>184</v>
      </c>
      <c r="T217" s="4" t="str">
        <f aca="false">IF(O217&lt;0.05,"YES","no")</f>
        <v>no</v>
      </c>
      <c r="U217" s="4" t="str">
        <f aca="false">IF(P217&lt;0.05,"YES","no")</f>
        <v>no</v>
      </c>
      <c r="V217" s="4" t="str">
        <f aca="false">IF(N217&gt;1,"YES","no")</f>
        <v>no</v>
      </c>
    </row>
    <row r="218" customFormat="false" ht="15" hidden="false" customHeight="false" outlineLevel="0" collapsed="false">
      <c r="A218" s="4" t="s">
        <v>206</v>
      </c>
      <c r="B218" s="4"/>
      <c r="C218" s="4" t="s">
        <v>72</v>
      </c>
      <c r="D218" s="8" t="n">
        <v>298.09699</v>
      </c>
      <c r="E218" s="9" t="n">
        <v>6.861</v>
      </c>
      <c r="F218" s="10" t="n">
        <v>8622578.68267076</v>
      </c>
      <c r="G218" s="10" t="n">
        <v>3428238.99919444</v>
      </c>
      <c r="H218" s="10" t="n">
        <v>9072455.09394505</v>
      </c>
      <c r="I218" s="10" t="n">
        <v>2294866.03527414</v>
      </c>
      <c r="J218" s="10" t="n">
        <v>8827067.96052271</v>
      </c>
      <c r="K218" s="11" t="n">
        <v>1.05217423091522</v>
      </c>
      <c r="L218" s="11" t="n">
        <v>0.0733736221820362</v>
      </c>
      <c r="M218" s="11" t="n">
        <v>0.0828664723254334</v>
      </c>
      <c r="N218" s="11" t="n">
        <v>0.10692736745428</v>
      </c>
      <c r="O218" s="12" t="n">
        <v>0.801509289719892</v>
      </c>
      <c r="P218" s="12" t="n">
        <v>0.896437736375293</v>
      </c>
      <c r="Q218" s="4" t="n">
        <f aca="false">RANK(N218,$N$7:$N$307,0)</f>
        <v>212</v>
      </c>
      <c r="R218" s="4" t="n">
        <f aca="false">RANK(O218,$O$7:$O$307,1)</f>
        <v>269</v>
      </c>
      <c r="S218" s="4" t="n">
        <f aca="false">RANK(J218,$J$7:$J$307,0)</f>
        <v>102</v>
      </c>
      <c r="T218" s="4" t="str">
        <f aca="false">IF(O218&lt;0.05,"YES","no")</f>
        <v>no</v>
      </c>
      <c r="U218" s="4" t="str">
        <f aca="false">IF(P218&lt;0.05,"YES","no")</f>
        <v>no</v>
      </c>
      <c r="V218" s="4" t="str">
        <f aca="false">IF(N218&gt;1,"YES","no")</f>
        <v>no</v>
      </c>
    </row>
    <row r="219" customFormat="false" ht="15" hidden="false" customHeight="false" outlineLevel="0" collapsed="false">
      <c r="A219" s="4" t="s">
        <v>298</v>
      </c>
      <c r="B219" s="4"/>
      <c r="C219" s="4" t="s">
        <v>61</v>
      </c>
      <c r="D219" s="8" t="n">
        <v>346.05529</v>
      </c>
      <c r="E219" s="9" t="n">
        <v>10.103</v>
      </c>
      <c r="F219" s="10" t="n">
        <v>2494068.13347887</v>
      </c>
      <c r="G219" s="10" t="n">
        <v>697013.101955776</v>
      </c>
      <c r="H219" s="10" t="n">
        <v>2834428.53269464</v>
      </c>
      <c r="I219" s="10" t="n">
        <v>456470.822765569</v>
      </c>
      <c r="J219" s="10" t="n">
        <v>2648777.40584967</v>
      </c>
      <c r="K219" s="11" t="n">
        <v>1.13646796358407</v>
      </c>
      <c r="L219" s="11" t="n">
        <v>0.184557015937695</v>
      </c>
      <c r="M219" s="11" t="n">
        <v>0.297132637046875</v>
      </c>
      <c r="N219" s="11" t="n">
        <v>0.106543542391617</v>
      </c>
      <c r="O219" s="12" t="n">
        <v>0.357593677643176</v>
      </c>
      <c r="P219" s="12" t="n">
        <v>0.623654674242459</v>
      </c>
      <c r="Q219" s="4" t="n">
        <f aca="false">RANK(N219,$N$7:$N$307,0)</f>
        <v>213</v>
      </c>
      <c r="R219" s="4" t="n">
        <f aca="false">RANK(O219,$O$7:$O$307,1)</f>
        <v>172</v>
      </c>
      <c r="S219" s="4" t="n">
        <f aca="false">RANK(J219,$J$7:$J$307,0)</f>
        <v>162</v>
      </c>
      <c r="T219" s="4" t="str">
        <f aca="false">IF(O219&lt;0.05,"YES","no")</f>
        <v>no</v>
      </c>
      <c r="U219" s="4" t="str">
        <f aca="false">IF(P219&lt;0.05,"YES","no")</f>
        <v>no</v>
      </c>
      <c r="V219" s="4" t="str">
        <f aca="false">IF(N219&gt;1,"YES","no")</f>
        <v>no</v>
      </c>
    </row>
    <row r="220" customFormat="false" ht="15" hidden="false" customHeight="false" outlineLevel="0" collapsed="false">
      <c r="A220" s="4" t="s">
        <v>279</v>
      </c>
      <c r="B220" s="4"/>
      <c r="C220" s="4" t="s">
        <v>61</v>
      </c>
      <c r="D220" s="8" t="n">
        <v>402.99448</v>
      </c>
      <c r="E220" s="9" t="n">
        <v>10.398</v>
      </c>
      <c r="F220" s="10" t="n">
        <v>1939715.05142438</v>
      </c>
      <c r="G220" s="10" t="n">
        <v>320393.542808675</v>
      </c>
      <c r="H220" s="10" t="n">
        <v>1803438.37853855</v>
      </c>
      <c r="I220" s="10" t="n">
        <v>789572.26555446</v>
      </c>
      <c r="J220" s="10" t="n">
        <v>1877771.10920354</v>
      </c>
      <c r="K220" s="11" t="n">
        <v>0.929743973071839</v>
      </c>
      <c r="L220" s="11" t="n">
        <v>-0.105094604077582</v>
      </c>
      <c r="M220" s="11" t="n">
        <v>0.128704875788892</v>
      </c>
      <c r="N220" s="11" t="n">
        <v>0.106286055835911</v>
      </c>
      <c r="O220" s="12" t="n">
        <v>0.731946747423677</v>
      </c>
      <c r="P220" s="12" t="n">
        <v>0.85726058744952</v>
      </c>
      <c r="Q220" s="4" t="n">
        <f aca="false">RANK(N220,$N$7:$N$307,0)</f>
        <v>214</v>
      </c>
      <c r="R220" s="4" t="n">
        <f aca="false">RANK(O220,$O$7:$O$307,1)</f>
        <v>257</v>
      </c>
      <c r="S220" s="4" t="n">
        <f aca="false">RANK(J220,$J$7:$J$307,0)</f>
        <v>180</v>
      </c>
      <c r="T220" s="4" t="str">
        <f aca="false">IF(O220&lt;0.05,"YES","no")</f>
        <v>no</v>
      </c>
      <c r="U220" s="4" t="str">
        <f aca="false">IF(P220&lt;0.05,"YES","no")</f>
        <v>no</v>
      </c>
      <c r="V220" s="4" t="str">
        <f aca="false">IF(N220&gt;1,"YES","no")</f>
        <v>no</v>
      </c>
    </row>
    <row r="221" customFormat="false" ht="15" hidden="false" customHeight="false" outlineLevel="0" collapsed="false">
      <c r="A221" s="4" t="s">
        <v>260</v>
      </c>
      <c r="B221" s="4"/>
      <c r="C221" s="4" t="s">
        <v>72</v>
      </c>
      <c r="D221" s="8" t="n">
        <v>126.06621</v>
      </c>
      <c r="E221" s="9" t="n">
        <v>8.612</v>
      </c>
      <c r="F221" s="10" t="n">
        <v>1236629.5249678</v>
      </c>
      <c r="G221" s="10" t="n">
        <v>518270.83891833</v>
      </c>
      <c r="H221" s="10" t="n">
        <v>960906.773269454</v>
      </c>
      <c r="I221" s="10" t="n">
        <v>360645.638608776</v>
      </c>
      <c r="J221" s="10" t="n">
        <v>1111301.00146855</v>
      </c>
      <c r="K221" s="11" t="n">
        <v>0.7770369005984</v>
      </c>
      <c r="L221" s="11" t="n">
        <v>-0.363944982681363</v>
      </c>
      <c r="M221" s="11" t="n">
        <v>0.316436585501015</v>
      </c>
      <c r="N221" s="11" t="n">
        <v>0.103659310376069</v>
      </c>
      <c r="O221" s="12" t="n">
        <v>0.327698872524584</v>
      </c>
      <c r="P221" s="12" t="n">
        <v>0.617704034920547</v>
      </c>
      <c r="Q221" s="4" t="n">
        <f aca="false">RANK(N221,$N$7:$N$307,0)</f>
        <v>215</v>
      </c>
      <c r="R221" s="4" t="n">
        <f aca="false">RANK(O221,$O$7:$O$307,1)</f>
        <v>158</v>
      </c>
      <c r="S221" s="4" t="n">
        <f aca="false">RANK(J221,$J$7:$J$307,0)</f>
        <v>211</v>
      </c>
      <c r="T221" s="4" t="str">
        <f aca="false">IF(O221&lt;0.05,"YES","no")</f>
        <v>no</v>
      </c>
      <c r="U221" s="4" t="str">
        <f aca="false">IF(P221&lt;0.05,"YES","no")</f>
        <v>no</v>
      </c>
      <c r="V221" s="4" t="str">
        <f aca="false">IF(N221&gt;1,"YES","no")</f>
        <v>no</v>
      </c>
    </row>
    <row r="222" customFormat="false" ht="15" hidden="false" customHeight="false" outlineLevel="0" collapsed="false">
      <c r="A222" s="4" t="s">
        <v>221</v>
      </c>
      <c r="B222" s="4"/>
      <c r="C222" s="4" t="s">
        <v>72</v>
      </c>
      <c r="D222" s="8" t="n">
        <v>207.99828</v>
      </c>
      <c r="E222" s="9" t="n">
        <v>9.816</v>
      </c>
      <c r="F222" s="10" t="n">
        <v>2009108.71881295</v>
      </c>
      <c r="G222" s="10" t="n">
        <v>442594.711577027</v>
      </c>
      <c r="H222" s="10" t="n">
        <v>1849596.52963104</v>
      </c>
      <c r="I222" s="10" t="n">
        <v>936645.424177422</v>
      </c>
      <c r="J222" s="10" t="n">
        <v>1936603.17827571</v>
      </c>
      <c r="K222" s="11" t="n">
        <v>0.920605496512824</v>
      </c>
      <c r="L222" s="11" t="n">
        <v>-0.119345038630016</v>
      </c>
      <c r="M222" s="11" t="n">
        <v>0.123386612539996</v>
      </c>
      <c r="N222" s="11" t="n">
        <v>0.102946812103262</v>
      </c>
      <c r="O222" s="12" t="n">
        <v>0.739644335857542</v>
      </c>
      <c r="P222" s="12" t="n">
        <v>0.861044239592251</v>
      </c>
      <c r="Q222" s="4" t="n">
        <f aca="false">RANK(N222,$N$7:$N$307,0)</f>
        <v>216</v>
      </c>
      <c r="R222" s="4" t="n">
        <f aca="false">RANK(O222,$O$7:$O$307,1)</f>
        <v>258</v>
      </c>
      <c r="S222" s="4" t="n">
        <f aca="false">RANK(J222,$J$7:$J$307,0)</f>
        <v>176</v>
      </c>
      <c r="T222" s="4" t="str">
        <f aca="false">IF(O222&lt;0.05,"YES","no")</f>
        <v>no</v>
      </c>
      <c r="U222" s="4" t="str">
        <f aca="false">IF(P222&lt;0.05,"YES","no")</f>
        <v>no</v>
      </c>
      <c r="V222" s="4" t="str">
        <f aca="false">IF(N222&gt;1,"YES","no")</f>
        <v>no</v>
      </c>
    </row>
    <row r="223" customFormat="false" ht="15" hidden="false" customHeight="false" outlineLevel="0" collapsed="false">
      <c r="A223" s="4" t="s">
        <v>214</v>
      </c>
      <c r="B223" s="4"/>
      <c r="C223" s="4" t="s">
        <v>61</v>
      </c>
      <c r="D223" s="8" t="n">
        <v>135.04513</v>
      </c>
      <c r="E223" s="9" t="n">
        <v>5.018</v>
      </c>
      <c r="F223" s="10" t="n">
        <v>14678602.3012138</v>
      </c>
      <c r="G223" s="10" t="n">
        <v>4006842.19134874</v>
      </c>
      <c r="H223" s="10" t="n">
        <v>13860824.631297</v>
      </c>
      <c r="I223" s="10" t="n">
        <v>3479176.66160929</v>
      </c>
      <c r="J223" s="10" t="n">
        <v>14306885.1785244</v>
      </c>
      <c r="K223" s="11" t="n">
        <v>0.944287769834242</v>
      </c>
      <c r="L223" s="11" t="n">
        <v>-0.0827015098276516</v>
      </c>
      <c r="M223" s="11" t="n">
        <v>0.118213433641598</v>
      </c>
      <c r="N223" s="11" t="n">
        <v>0.101462620097061</v>
      </c>
      <c r="O223" s="12" t="n">
        <v>0.725567880211472</v>
      </c>
      <c r="P223" s="12" t="n">
        <v>0.856454635073149</v>
      </c>
      <c r="Q223" s="4" t="n">
        <f aca="false">RANK(N223,$N$7:$N$307,0)</f>
        <v>217</v>
      </c>
      <c r="R223" s="4" t="n">
        <f aca="false">RANK(O223,$O$7:$O$307,1)</f>
        <v>255</v>
      </c>
      <c r="S223" s="4" t="n">
        <f aca="false">RANK(J223,$J$7:$J$307,0)</f>
        <v>90</v>
      </c>
      <c r="T223" s="4" t="str">
        <f aca="false">IF(O223&lt;0.05,"YES","no")</f>
        <v>no</v>
      </c>
      <c r="U223" s="4" t="str">
        <f aca="false">IF(P223&lt;0.05,"YES","no")</f>
        <v>no</v>
      </c>
      <c r="V223" s="4" t="str">
        <f aca="false">IF(N223&gt;1,"YES","no")</f>
        <v>no</v>
      </c>
    </row>
    <row r="224" customFormat="false" ht="15" hidden="false" customHeight="false" outlineLevel="0" collapsed="false">
      <c r="A224" s="4" t="s">
        <v>389</v>
      </c>
      <c r="B224" s="4"/>
      <c r="C224" s="4" t="s">
        <v>72</v>
      </c>
      <c r="D224" s="8" t="n">
        <v>205.08299</v>
      </c>
      <c r="E224" s="9" t="n">
        <v>8.545</v>
      </c>
      <c r="F224" s="10" t="n">
        <v>365766.265356787</v>
      </c>
      <c r="G224" s="10" t="n">
        <v>186296.355041355</v>
      </c>
      <c r="H224" s="10" t="n">
        <v>542924.385838948</v>
      </c>
      <c r="I224" s="10" t="n">
        <v>234486.22775842</v>
      </c>
      <c r="J224" s="10" t="n">
        <v>446292.68375777</v>
      </c>
      <c r="K224" s="11" t="n">
        <v>1.48434789443841</v>
      </c>
      <c r="L224" s="11" t="n">
        <v>0.56982926362942</v>
      </c>
      <c r="M224" s="11" t="n">
        <v>0.422697190855435</v>
      </c>
      <c r="N224" s="11" t="n">
        <v>0.101389800640842</v>
      </c>
      <c r="O224" s="12" t="n">
        <v>0.210383403233888</v>
      </c>
      <c r="P224" s="12" t="n">
        <v>0.545793274011047</v>
      </c>
      <c r="Q224" s="4" t="n">
        <f aca="false">RANK(N224,$N$7:$N$307,0)</f>
        <v>218</v>
      </c>
      <c r="R224" s="4" t="n">
        <f aca="false">RANK(O224,$O$7:$O$307,1)</f>
        <v>111</v>
      </c>
      <c r="S224" s="4" t="n">
        <f aca="false">RANK(J224,$J$7:$J$307,0)</f>
        <v>248</v>
      </c>
      <c r="T224" s="4" t="str">
        <f aca="false">IF(O224&lt;0.05,"YES","no")</f>
        <v>no</v>
      </c>
      <c r="U224" s="4" t="str">
        <f aca="false">IF(P224&lt;0.05,"YES","no")</f>
        <v>no</v>
      </c>
      <c r="V224" s="4" t="str">
        <f aca="false">IF(N224&gt;1,"YES","no")</f>
        <v>no</v>
      </c>
    </row>
    <row r="225" customFormat="false" ht="15" hidden="false" customHeight="false" outlineLevel="0" collapsed="false">
      <c r="A225" s="4" t="s">
        <v>356</v>
      </c>
      <c r="B225" s="4"/>
      <c r="C225" s="4" t="s">
        <v>72</v>
      </c>
      <c r="D225" s="8" t="n">
        <v>130.05101</v>
      </c>
      <c r="E225" s="9" t="n">
        <v>6.887</v>
      </c>
      <c r="F225" s="10" t="n">
        <v>490246.022580541</v>
      </c>
      <c r="G225" s="10" t="n">
        <v>137189.508568765</v>
      </c>
      <c r="H225" s="10" t="n">
        <v>658468.50313883</v>
      </c>
      <c r="I225" s="10" t="n">
        <v>139977.792426995</v>
      </c>
      <c r="J225" s="10" t="n">
        <v>566710.786470672</v>
      </c>
      <c r="K225" s="11" t="n">
        <v>1.34313889926695</v>
      </c>
      <c r="L225" s="11" t="n">
        <v>0.425608507238728</v>
      </c>
      <c r="M225" s="11" t="n">
        <v>0.55600045667075</v>
      </c>
      <c r="N225" s="11" t="n">
        <v>0.0998498103663402</v>
      </c>
      <c r="O225" s="12" t="n">
        <v>0.0777983133167906</v>
      </c>
      <c r="P225" s="12" t="n">
        <v>0.483522015532954</v>
      </c>
      <c r="Q225" s="4" t="n">
        <f aca="false">RANK(N225,$N$7:$N$307,0)</f>
        <v>219</v>
      </c>
      <c r="R225" s="4" t="n">
        <f aca="false">RANK(O225,$O$7:$O$307,1)</f>
        <v>48</v>
      </c>
      <c r="S225" s="4" t="n">
        <f aca="false">RANK(J225,$J$7:$J$307,0)</f>
        <v>239</v>
      </c>
      <c r="T225" s="4" t="str">
        <f aca="false">IF(O225&lt;0.05,"YES","no")</f>
        <v>no</v>
      </c>
      <c r="U225" s="4" t="str">
        <f aca="false">IF(P225&lt;0.05,"YES","no")</f>
        <v>no</v>
      </c>
      <c r="V225" s="4" t="str">
        <f aca="false">IF(N225&gt;1,"YES","no")</f>
        <v>no</v>
      </c>
    </row>
    <row r="226" customFormat="false" ht="15" hidden="false" customHeight="false" outlineLevel="0" collapsed="false">
      <c r="A226" s="4" t="s">
        <v>318</v>
      </c>
      <c r="B226" s="4" t="s">
        <v>319</v>
      </c>
      <c r="C226" s="4" t="s">
        <v>61</v>
      </c>
      <c r="D226" s="8" t="n">
        <v>291.12984</v>
      </c>
      <c r="E226" s="9" t="n">
        <v>10.713</v>
      </c>
      <c r="F226" s="10" t="n">
        <v>1290623.25260208</v>
      </c>
      <c r="G226" s="10" t="n">
        <v>413586.021903643</v>
      </c>
      <c r="H226" s="10" t="n">
        <v>1039479.14187406</v>
      </c>
      <c r="I226" s="10" t="n">
        <v>735669.537482193</v>
      </c>
      <c r="J226" s="10" t="n">
        <v>1176466.8386348</v>
      </c>
      <c r="K226" s="11" t="n">
        <v>0.805408658009472</v>
      </c>
      <c r="L226" s="11" t="n">
        <v>-0.312207113787962</v>
      </c>
      <c r="M226" s="11" t="n">
        <v>0.232138627028463</v>
      </c>
      <c r="N226" s="11" t="n">
        <v>0.0993079540018743</v>
      </c>
      <c r="O226" s="12" t="n">
        <v>0.52217426909762</v>
      </c>
      <c r="P226" s="12" t="n">
        <v>0.718352458764677</v>
      </c>
      <c r="Q226" s="4" t="n">
        <f aca="false">RANK(N226,$N$7:$N$307,0)</f>
        <v>220</v>
      </c>
      <c r="R226" s="4" t="n">
        <f aca="false">RANK(O226,$O$7:$O$307,1)</f>
        <v>218</v>
      </c>
      <c r="S226" s="4" t="n">
        <f aca="false">RANK(J226,$J$7:$J$307,0)</f>
        <v>207</v>
      </c>
      <c r="T226" s="4" t="str">
        <f aca="false">IF(O226&lt;0.05,"YES","no")</f>
        <v>no</v>
      </c>
      <c r="U226" s="4" t="str">
        <f aca="false">IF(P226&lt;0.05,"YES","no")</f>
        <v>no</v>
      </c>
      <c r="V226" s="4" t="str">
        <f aca="false">IF(N226&gt;1,"YES","no")</f>
        <v>no</v>
      </c>
    </row>
    <row r="227" customFormat="false" ht="15" hidden="false" customHeight="false" outlineLevel="0" collapsed="false">
      <c r="A227" s="4" t="s">
        <v>329</v>
      </c>
      <c r="B227" s="4" t="s">
        <v>330</v>
      </c>
      <c r="C227" s="4" t="s">
        <v>72</v>
      </c>
      <c r="D227" s="8" t="n">
        <v>146.16515</v>
      </c>
      <c r="E227" s="9" t="n">
        <v>14.215</v>
      </c>
      <c r="F227" s="10" t="n">
        <v>7239487.86051755</v>
      </c>
      <c r="G227" s="10" t="n">
        <v>884355.279231708</v>
      </c>
      <c r="H227" s="10" t="n">
        <v>7586186.54275172</v>
      </c>
      <c r="I227" s="10" t="n">
        <v>822424.873237255</v>
      </c>
      <c r="J227" s="10" t="n">
        <v>7397078.17062399</v>
      </c>
      <c r="K227" s="11" t="n">
        <v>1.04788994593457</v>
      </c>
      <c r="L227" s="11" t="n">
        <v>0.0674872065779104</v>
      </c>
      <c r="M227" s="11" t="n">
        <v>0.217279527840572</v>
      </c>
      <c r="N227" s="11" t="n">
        <v>0.0976547654336024</v>
      </c>
      <c r="O227" s="12" t="n">
        <v>0.518318771736954</v>
      </c>
      <c r="P227" s="12" t="n">
        <v>0.718352458764677</v>
      </c>
      <c r="Q227" s="4" t="n">
        <f aca="false">RANK(N227,$N$7:$N$307,0)</f>
        <v>221</v>
      </c>
      <c r="R227" s="4" t="n">
        <f aca="false">RANK(O227,$O$7:$O$307,1)</f>
        <v>217</v>
      </c>
      <c r="S227" s="4" t="n">
        <f aca="false">RANK(J227,$J$7:$J$307,0)</f>
        <v>115</v>
      </c>
      <c r="T227" s="4" t="str">
        <f aca="false">IF(O227&lt;0.05,"YES","no")</f>
        <v>no</v>
      </c>
      <c r="U227" s="4" t="str">
        <f aca="false">IF(P227&lt;0.05,"YES","no")</f>
        <v>no</v>
      </c>
      <c r="V227" s="4" t="str">
        <f aca="false">IF(N227&gt;1,"YES","no")</f>
        <v>no</v>
      </c>
    </row>
    <row r="228" customFormat="false" ht="15" hidden="false" customHeight="false" outlineLevel="0" collapsed="false">
      <c r="A228" s="4" t="s">
        <v>244</v>
      </c>
      <c r="B228" s="4"/>
      <c r="C228" s="4" t="s">
        <v>72</v>
      </c>
      <c r="D228" s="8" t="n">
        <v>204.08663</v>
      </c>
      <c r="E228" s="9" t="n">
        <v>9.532</v>
      </c>
      <c r="F228" s="10" t="n">
        <v>782948.617134325</v>
      </c>
      <c r="G228" s="10" t="n">
        <v>513451.637536803</v>
      </c>
      <c r="H228" s="10" t="n">
        <v>976414.955583756</v>
      </c>
      <c r="I228" s="10" t="n">
        <v>352363.437970817</v>
      </c>
      <c r="J228" s="10" t="n">
        <v>870887.861884066</v>
      </c>
      <c r="K228" s="11" t="n">
        <v>1.24709966173456</v>
      </c>
      <c r="L228" s="11" t="n">
        <v>0.318576762477066</v>
      </c>
      <c r="M228" s="11" t="n">
        <v>0.230766062737468</v>
      </c>
      <c r="N228" s="11" t="n">
        <v>0.0961676521460574</v>
      </c>
      <c r="O228" s="12" t="n">
        <v>0.479980170087482</v>
      </c>
      <c r="P228" s="12" t="n">
        <v>0.700448056669827</v>
      </c>
      <c r="Q228" s="4" t="n">
        <f aca="false">RANK(N228,$N$7:$N$307,0)</f>
        <v>222</v>
      </c>
      <c r="R228" s="4" t="n">
        <f aca="false">RANK(O228,$O$7:$O$307,1)</f>
        <v>205</v>
      </c>
      <c r="S228" s="4" t="n">
        <f aca="false">RANK(J228,$J$7:$J$307,0)</f>
        <v>222</v>
      </c>
      <c r="T228" s="4" t="str">
        <f aca="false">IF(O228&lt;0.05,"YES","no")</f>
        <v>no</v>
      </c>
      <c r="U228" s="4" t="str">
        <f aca="false">IF(P228&lt;0.05,"YES","no")</f>
        <v>no</v>
      </c>
      <c r="V228" s="4" t="str">
        <f aca="false">IF(N228&gt;1,"YES","no")</f>
        <v>no</v>
      </c>
    </row>
    <row r="229" customFormat="false" ht="15" hidden="false" customHeight="false" outlineLevel="0" collapsed="false">
      <c r="A229" s="4" t="s">
        <v>272</v>
      </c>
      <c r="B229" s="4"/>
      <c r="C229" s="4" t="s">
        <v>72</v>
      </c>
      <c r="D229" s="8" t="n">
        <v>417.1188</v>
      </c>
      <c r="E229" s="9" t="n">
        <v>6.824</v>
      </c>
      <c r="F229" s="10" t="n">
        <v>247773.517311771</v>
      </c>
      <c r="G229" s="10" t="n">
        <v>112589.514158916</v>
      </c>
      <c r="H229" s="10" t="n">
        <v>398289.174644071</v>
      </c>
      <c r="I229" s="10" t="n">
        <v>193407.020367708</v>
      </c>
      <c r="J229" s="10" t="n">
        <v>316189.725190089</v>
      </c>
      <c r="K229" s="11" t="n">
        <v>1.60747273948131</v>
      </c>
      <c r="L229" s="11" t="n">
        <v>0.684794271644289</v>
      </c>
      <c r="M229" s="11" t="n">
        <v>0.47417958068445</v>
      </c>
      <c r="N229" s="11" t="n">
        <v>0.0947389405266789</v>
      </c>
      <c r="O229" s="12" t="n">
        <v>0.173829074240024</v>
      </c>
      <c r="P229" s="12" t="n">
        <v>0.545793274011047</v>
      </c>
      <c r="Q229" s="4" t="n">
        <f aca="false">RANK(N229,$N$7:$N$307,0)</f>
        <v>223</v>
      </c>
      <c r="R229" s="4" t="n">
        <f aca="false">RANK(O229,$O$7:$O$307,1)</f>
        <v>93</v>
      </c>
      <c r="S229" s="4" t="n">
        <f aca="false">RANK(J229,$J$7:$J$307,0)</f>
        <v>261</v>
      </c>
      <c r="T229" s="4" t="str">
        <f aca="false">IF(O229&lt;0.05,"YES","no")</f>
        <v>no</v>
      </c>
      <c r="U229" s="4" t="str">
        <f aca="false">IF(P229&lt;0.05,"YES","no")</f>
        <v>no</v>
      </c>
      <c r="V229" s="4" t="str">
        <f aca="false">IF(N229&gt;1,"YES","no")</f>
        <v>no</v>
      </c>
    </row>
    <row r="230" customFormat="false" ht="15" hidden="false" customHeight="false" outlineLevel="0" collapsed="false">
      <c r="A230" s="4" t="s">
        <v>333</v>
      </c>
      <c r="B230" s="4"/>
      <c r="C230" s="4" t="s">
        <v>72</v>
      </c>
      <c r="D230" s="8" t="n">
        <v>329.23316</v>
      </c>
      <c r="E230" s="9" t="n">
        <v>4.472</v>
      </c>
      <c r="F230" s="10" t="n">
        <v>225527.67603261</v>
      </c>
      <c r="G230" s="10" t="n">
        <v>87937.0959630025</v>
      </c>
      <c r="H230" s="10" t="n">
        <v>368302.021797441</v>
      </c>
      <c r="I230" s="10" t="n">
        <v>326208.519119043</v>
      </c>
      <c r="J230" s="10" t="n">
        <v>290425.105925715</v>
      </c>
      <c r="K230" s="11" t="n">
        <v>1.6330679598906</v>
      </c>
      <c r="L230" s="11" t="n">
        <v>0.70758482969755</v>
      </c>
      <c r="M230" s="11" t="n">
        <v>0.327002988054439</v>
      </c>
      <c r="N230" s="11" t="n">
        <v>0.0939900108845826</v>
      </c>
      <c r="O230" s="12" t="n">
        <v>0.390286814726191</v>
      </c>
      <c r="P230" s="12" t="n">
        <v>0.635007195851802</v>
      </c>
      <c r="Q230" s="4" t="n">
        <f aca="false">RANK(N230,$N$7:$N$307,0)</f>
        <v>224</v>
      </c>
      <c r="R230" s="4" t="n">
        <f aca="false">RANK(O230,$O$7:$O$307,1)</f>
        <v>185</v>
      </c>
      <c r="S230" s="4" t="n">
        <f aca="false">RANK(J230,$J$7:$J$307,0)</f>
        <v>263</v>
      </c>
      <c r="T230" s="4" t="str">
        <f aca="false">IF(O230&lt;0.05,"YES","no")</f>
        <v>no</v>
      </c>
      <c r="U230" s="4" t="str">
        <f aca="false">IF(P230&lt;0.05,"YES","no")</f>
        <v>no</v>
      </c>
      <c r="V230" s="4" t="str">
        <f aca="false">IF(N230&gt;1,"YES","no")</f>
        <v>no</v>
      </c>
    </row>
    <row r="231" customFormat="false" ht="15" hidden="false" customHeight="false" outlineLevel="0" collapsed="false">
      <c r="A231" s="4" t="s">
        <v>305</v>
      </c>
      <c r="B231" s="4"/>
      <c r="C231" s="4" t="s">
        <v>61</v>
      </c>
      <c r="D231" s="8" t="n">
        <v>105.01929</v>
      </c>
      <c r="E231" s="9" t="n">
        <v>8.505</v>
      </c>
      <c r="F231" s="10" t="n">
        <v>1289533.59061511</v>
      </c>
      <c r="G231" s="10" t="n">
        <v>257842.127968224</v>
      </c>
      <c r="H231" s="10" t="n">
        <v>1120261.30090485</v>
      </c>
      <c r="I231" s="10" t="n">
        <v>277756.982664875</v>
      </c>
      <c r="J231" s="10" t="n">
        <v>1212591.64074681</v>
      </c>
      <c r="K231" s="11" t="n">
        <v>0.868733710434392</v>
      </c>
      <c r="L231" s="11" t="n">
        <v>-0.203014073784978</v>
      </c>
      <c r="M231" s="11" t="n">
        <v>0.329639599931274</v>
      </c>
      <c r="N231" s="11" t="n">
        <v>0.0938982071389528</v>
      </c>
      <c r="O231" s="12" t="n">
        <v>0.327645819451343</v>
      </c>
      <c r="P231" s="12" t="n">
        <v>0.617704034920547</v>
      </c>
      <c r="Q231" s="4" t="n">
        <f aca="false">RANK(N231,$N$7:$N$307,0)</f>
        <v>225</v>
      </c>
      <c r="R231" s="4" t="n">
        <f aca="false">RANK(O231,$O$7:$O$307,1)</f>
        <v>157</v>
      </c>
      <c r="S231" s="4" t="n">
        <f aca="false">RANK(J231,$J$7:$J$307,0)</f>
        <v>204</v>
      </c>
      <c r="T231" s="4" t="str">
        <f aca="false">IF(O231&lt;0.05,"YES","no")</f>
        <v>no</v>
      </c>
      <c r="U231" s="4" t="str">
        <f aca="false">IF(P231&lt;0.05,"YES","no")</f>
        <v>no</v>
      </c>
      <c r="V231" s="4" t="str">
        <f aca="false">IF(N231&gt;1,"YES","no")</f>
        <v>no</v>
      </c>
    </row>
    <row r="232" customFormat="false" ht="15" hidden="false" customHeight="false" outlineLevel="0" collapsed="false">
      <c r="A232" s="4" t="s">
        <v>249</v>
      </c>
      <c r="B232" s="4" t="s">
        <v>250</v>
      </c>
      <c r="C232" s="4" t="s">
        <v>61</v>
      </c>
      <c r="D232" s="8" t="n">
        <v>298.09695</v>
      </c>
      <c r="E232" s="9" t="n">
        <v>5.465</v>
      </c>
      <c r="F232" s="10" t="n">
        <v>2983270.76981378</v>
      </c>
      <c r="G232" s="10" t="n">
        <v>1311323.69435861</v>
      </c>
      <c r="H232" s="10" t="n">
        <v>3311853.15539424</v>
      </c>
      <c r="I232" s="10" t="n">
        <v>817991.41114765</v>
      </c>
      <c r="J232" s="10" t="n">
        <v>3132626.39962308</v>
      </c>
      <c r="K232" s="11" t="n">
        <v>1.11014165690397</v>
      </c>
      <c r="L232" s="11" t="n">
        <v>0.150743779884741</v>
      </c>
      <c r="M232" s="11" t="n">
        <v>0.159538491613543</v>
      </c>
      <c r="N232" s="11" t="n">
        <v>0.093766457379276</v>
      </c>
      <c r="O232" s="12" t="n">
        <v>0.625271404130992</v>
      </c>
      <c r="P232" s="12" t="n">
        <v>0.79748598577724</v>
      </c>
      <c r="Q232" s="4" t="n">
        <f aca="false">RANK(N232,$N$7:$N$307,0)</f>
        <v>226</v>
      </c>
      <c r="R232" s="4" t="n">
        <f aca="false">RANK(O232,$O$7:$O$307,1)</f>
        <v>236</v>
      </c>
      <c r="S232" s="4" t="n">
        <f aca="false">RANK(J232,$J$7:$J$307,0)</f>
        <v>154</v>
      </c>
      <c r="T232" s="4" t="str">
        <f aca="false">IF(O232&lt;0.05,"YES","no")</f>
        <v>no</v>
      </c>
      <c r="U232" s="4" t="str">
        <f aca="false">IF(P232&lt;0.05,"YES","no")</f>
        <v>no</v>
      </c>
      <c r="V232" s="4" t="str">
        <f aca="false">IF(N232&gt;1,"YES","no")</f>
        <v>no</v>
      </c>
    </row>
    <row r="233" customFormat="false" ht="15" hidden="false" customHeight="false" outlineLevel="0" collapsed="false">
      <c r="A233" s="4" t="s">
        <v>362</v>
      </c>
      <c r="B233" s="4"/>
      <c r="C233" s="4" t="s">
        <v>61</v>
      </c>
      <c r="D233" s="8" t="n">
        <v>151.06126</v>
      </c>
      <c r="E233" s="9" t="n">
        <v>10.081</v>
      </c>
      <c r="F233" s="10" t="n">
        <v>301711.821219966</v>
      </c>
      <c r="G233" s="10" t="n">
        <v>127903.792295928</v>
      </c>
      <c r="H233" s="10" t="n">
        <v>450155.715437317</v>
      </c>
      <c r="I233" s="10" t="n">
        <v>284041.191491513</v>
      </c>
      <c r="J233" s="10" t="n">
        <v>369186.318591489</v>
      </c>
      <c r="K233" s="11" t="n">
        <v>1.49200556218554</v>
      </c>
      <c r="L233" s="11" t="n">
        <v>0.577252913959459</v>
      </c>
      <c r="M233" s="11" t="n">
        <v>0.359651287535184</v>
      </c>
      <c r="N233" s="11" t="n">
        <v>0.0929479046100162</v>
      </c>
      <c r="O233" s="12" t="n">
        <v>0.326111853308754</v>
      </c>
      <c r="P233" s="12" t="n">
        <v>0.617704034920547</v>
      </c>
      <c r="Q233" s="4" t="n">
        <f aca="false">RANK(N233,$N$7:$N$307,0)</f>
        <v>227</v>
      </c>
      <c r="R233" s="4" t="n">
        <f aca="false">RANK(O233,$O$7:$O$307,1)</f>
        <v>155</v>
      </c>
      <c r="S233" s="4" t="n">
        <f aca="false">RANK(J233,$J$7:$J$307,0)</f>
        <v>258</v>
      </c>
      <c r="T233" s="4" t="str">
        <f aca="false">IF(O233&lt;0.05,"YES","no")</f>
        <v>no</v>
      </c>
      <c r="U233" s="4" t="str">
        <f aca="false">IF(P233&lt;0.05,"YES","no")</f>
        <v>no</v>
      </c>
      <c r="V233" s="4" t="str">
        <f aca="false">IF(N233&gt;1,"YES","no")</f>
        <v>no</v>
      </c>
    </row>
    <row r="234" customFormat="false" ht="15" hidden="false" customHeight="false" outlineLevel="0" collapsed="false">
      <c r="A234" s="4" t="s">
        <v>397</v>
      </c>
      <c r="B234" s="4" t="s">
        <v>398</v>
      </c>
      <c r="C234" s="4" t="s">
        <v>72</v>
      </c>
      <c r="D234" s="8" t="n">
        <v>166.02921</v>
      </c>
      <c r="E234" s="9" t="n">
        <v>11.73</v>
      </c>
      <c r="F234" s="10" t="n">
        <v>461760.031226437</v>
      </c>
      <c r="G234" s="10" t="n">
        <v>139111.511590784</v>
      </c>
      <c r="H234" s="10" t="n">
        <v>608927.193185333</v>
      </c>
      <c r="I234" s="10" t="n">
        <v>113275.838092858</v>
      </c>
      <c r="J234" s="10" t="n">
        <v>528654.195753208</v>
      </c>
      <c r="K234" s="11" t="n">
        <v>1.31870918227379</v>
      </c>
      <c r="L234" s="11" t="n">
        <v>0.39912643907666</v>
      </c>
      <c r="M234" s="11" t="n">
        <v>0.533985042259542</v>
      </c>
      <c r="N234" s="11" t="n">
        <v>0.0913314914163835</v>
      </c>
      <c r="O234" s="12" t="n">
        <v>0.0851526597101148</v>
      </c>
      <c r="P234" s="12" t="n">
        <v>0.483522015532954</v>
      </c>
      <c r="Q234" s="4" t="n">
        <f aca="false">RANK(N234,$N$7:$N$307,0)</f>
        <v>228</v>
      </c>
      <c r="R234" s="4" t="n">
        <f aca="false">RANK(O234,$O$7:$O$307,1)</f>
        <v>51</v>
      </c>
      <c r="S234" s="4" t="n">
        <f aca="false">RANK(J234,$J$7:$J$307,0)</f>
        <v>240</v>
      </c>
      <c r="T234" s="4" t="str">
        <f aca="false">IF(O234&lt;0.05,"YES","no")</f>
        <v>no</v>
      </c>
      <c r="U234" s="4" t="str">
        <f aca="false">IF(P234&lt;0.05,"YES","no")</f>
        <v>no</v>
      </c>
      <c r="V234" s="4" t="str">
        <f aca="false">IF(N234&gt;1,"YES","no")</f>
        <v>no</v>
      </c>
    </row>
    <row r="235" customFormat="false" ht="15" hidden="false" customHeight="false" outlineLevel="0" collapsed="false">
      <c r="A235" s="4" t="s">
        <v>291</v>
      </c>
      <c r="B235" s="4"/>
      <c r="C235" s="4" t="s">
        <v>72</v>
      </c>
      <c r="D235" s="8" t="n">
        <v>245.11326</v>
      </c>
      <c r="E235" s="9" t="n">
        <v>9.843</v>
      </c>
      <c r="F235" s="10" t="n">
        <v>3188863.24292263</v>
      </c>
      <c r="G235" s="10" t="n">
        <v>1147455.08946857</v>
      </c>
      <c r="H235" s="10" t="n">
        <v>3299817.20023526</v>
      </c>
      <c r="I235" s="10" t="n">
        <v>660705.981239721</v>
      </c>
      <c r="J235" s="10" t="n">
        <v>3239296.85988292</v>
      </c>
      <c r="K235" s="11" t="n">
        <v>1.03479420372099</v>
      </c>
      <c r="L235" s="11" t="n">
        <v>0.0493438780699639</v>
      </c>
      <c r="M235" s="11" t="n">
        <v>0.0633616973822494</v>
      </c>
      <c r="N235" s="11" t="n">
        <v>0.0910794004929996</v>
      </c>
      <c r="O235" s="12" t="n">
        <v>0.846125747662914</v>
      </c>
      <c r="P235" s="12" t="n">
        <v>0.909585178737633</v>
      </c>
      <c r="Q235" s="4" t="n">
        <f aca="false">RANK(N235,$N$7:$N$307,0)</f>
        <v>229</v>
      </c>
      <c r="R235" s="4" t="n">
        <f aca="false">RANK(O235,$O$7:$O$307,1)</f>
        <v>280</v>
      </c>
      <c r="S235" s="4" t="n">
        <f aca="false">RANK(J235,$J$7:$J$307,0)</f>
        <v>152</v>
      </c>
      <c r="T235" s="4" t="str">
        <f aca="false">IF(O235&lt;0.05,"YES","no")</f>
        <v>no</v>
      </c>
      <c r="U235" s="4" t="str">
        <f aca="false">IF(P235&lt;0.05,"YES","no")</f>
        <v>no</v>
      </c>
      <c r="V235" s="4" t="str">
        <f aca="false">IF(N235&gt;1,"YES","no")</f>
        <v>no</v>
      </c>
    </row>
    <row r="236" customFormat="false" ht="15" hidden="false" customHeight="false" outlineLevel="0" collapsed="false">
      <c r="A236" s="4" t="s">
        <v>361</v>
      </c>
      <c r="B236" s="4"/>
      <c r="C236" s="4" t="s">
        <v>72</v>
      </c>
      <c r="D236" s="8" t="n">
        <v>558.06488</v>
      </c>
      <c r="E236" s="9" t="n">
        <v>8.226</v>
      </c>
      <c r="F236" s="10" t="n">
        <v>213324.222539095</v>
      </c>
      <c r="G236" s="10" t="n">
        <v>189086.014895148</v>
      </c>
      <c r="H236" s="10" t="n">
        <v>519240.993060774</v>
      </c>
      <c r="I236" s="10" t="n">
        <v>973743.648771634</v>
      </c>
      <c r="J236" s="10" t="n">
        <v>352377.300048949</v>
      </c>
      <c r="K236" s="11" t="n">
        <v>2.43404610540941</v>
      </c>
      <c r="L236" s="11" t="n">
        <v>1.2833564956669</v>
      </c>
      <c r="M236" s="11" t="n">
        <v>0.245734724497808</v>
      </c>
      <c r="N236" s="11" t="n">
        <v>0.0894252646287303</v>
      </c>
      <c r="O236" s="12" t="n">
        <v>0.525041664213385</v>
      </c>
      <c r="P236" s="12" t="n">
        <v>0.718352458764677</v>
      </c>
      <c r="Q236" s="4" t="n">
        <f aca="false">RANK(N236,$N$7:$N$307,0)</f>
        <v>230</v>
      </c>
      <c r="R236" s="4" t="n">
        <f aca="false">RANK(O236,$O$7:$O$307,1)</f>
        <v>220</v>
      </c>
      <c r="S236" s="4" t="n">
        <f aca="false">RANK(J236,$J$7:$J$307,0)</f>
        <v>259</v>
      </c>
      <c r="T236" s="4" t="str">
        <f aca="false">IF(O236&lt;0.05,"YES","no")</f>
        <v>no</v>
      </c>
      <c r="U236" s="4" t="str">
        <f aca="false">IF(P236&lt;0.05,"YES","no")</f>
        <v>no</v>
      </c>
      <c r="V236" s="4" t="str">
        <f aca="false">IF(N236&gt;1,"YES","no")</f>
        <v>no</v>
      </c>
    </row>
    <row r="237" customFormat="false" ht="15" hidden="false" customHeight="false" outlineLevel="0" collapsed="false">
      <c r="A237" s="4" t="s">
        <v>357</v>
      </c>
      <c r="B237" s="4" t="s">
        <v>358</v>
      </c>
      <c r="C237" s="4" t="s">
        <v>72</v>
      </c>
      <c r="D237" s="8" t="n">
        <v>588.07507</v>
      </c>
      <c r="E237" s="9" t="n">
        <v>10.17</v>
      </c>
      <c r="F237" s="10" t="n">
        <v>1054608.62718908</v>
      </c>
      <c r="G237" s="10" t="n">
        <v>293640.789132728</v>
      </c>
      <c r="H237" s="10" t="n">
        <v>1240768.66827255</v>
      </c>
      <c r="I237" s="10" t="n">
        <v>178539.181701804</v>
      </c>
      <c r="J237" s="10" t="n">
        <v>1139226.82768156</v>
      </c>
      <c r="K237" s="11" t="n">
        <v>1.1765204989643</v>
      </c>
      <c r="L237" s="11" t="n">
        <v>0.234526457405817</v>
      </c>
      <c r="M237" s="11" t="n">
        <v>0.38040485497736</v>
      </c>
      <c r="N237" s="11" t="n">
        <v>0.08663281058257</v>
      </c>
      <c r="O237" s="12" t="n">
        <v>0.230761876189844</v>
      </c>
      <c r="P237" s="12" t="n">
        <v>0.552337035283521</v>
      </c>
      <c r="Q237" s="4" t="n">
        <f aca="false">RANK(N237,$N$7:$N$307,0)</f>
        <v>231</v>
      </c>
      <c r="R237" s="4" t="n">
        <f aca="false">RANK(O237,$O$7:$O$307,1)</f>
        <v>125</v>
      </c>
      <c r="S237" s="4" t="n">
        <f aca="false">RANK(J237,$J$7:$J$307,0)</f>
        <v>210</v>
      </c>
      <c r="T237" s="4" t="str">
        <f aca="false">IF(O237&lt;0.05,"YES","no")</f>
        <v>no</v>
      </c>
      <c r="U237" s="4" t="str">
        <f aca="false">IF(P237&lt;0.05,"YES","no")</f>
        <v>no</v>
      </c>
      <c r="V237" s="4" t="str">
        <f aca="false">IF(N237&gt;1,"YES","no")</f>
        <v>no</v>
      </c>
    </row>
    <row r="238" customFormat="false" ht="15" hidden="false" customHeight="false" outlineLevel="0" collapsed="false">
      <c r="A238" s="4" t="s">
        <v>363</v>
      </c>
      <c r="B238" s="4"/>
      <c r="C238" s="4" t="s">
        <v>72</v>
      </c>
      <c r="D238" s="8" t="n">
        <v>181.07174</v>
      </c>
      <c r="E238" s="9" t="n">
        <v>10.505</v>
      </c>
      <c r="F238" s="10" t="n">
        <v>588528.750187499</v>
      </c>
      <c r="G238" s="10" t="n">
        <v>551058.16628856</v>
      </c>
      <c r="H238" s="10" t="n">
        <v>392492.516480375</v>
      </c>
      <c r="I238" s="10" t="n">
        <v>240792.754902535</v>
      </c>
      <c r="J238" s="10" t="n">
        <v>499421.371229715</v>
      </c>
      <c r="K238" s="11" t="n">
        <v>0.666904575783818</v>
      </c>
      <c r="L238" s="11" t="n">
        <v>-0.584447747108882</v>
      </c>
      <c r="M238" s="11" t="n">
        <v>0.237695895146635</v>
      </c>
      <c r="N238" s="11" t="n">
        <v>0.0858917031980327</v>
      </c>
      <c r="O238" s="12" t="n">
        <v>0.457338616681571</v>
      </c>
      <c r="P238" s="12" t="n">
        <v>0.688294618105764</v>
      </c>
      <c r="Q238" s="4" t="n">
        <f aca="false">RANK(N238,$N$7:$N$307,0)</f>
        <v>232</v>
      </c>
      <c r="R238" s="4" t="n">
        <f aca="false">RANK(O238,$O$7:$O$307,1)</f>
        <v>200</v>
      </c>
      <c r="S238" s="4" t="n">
        <f aca="false">RANK(J238,$J$7:$J$307,0)</f>
        <v>243</v>
      </c>
      <c r="T238" s="4" t="str">
        <f aca="false">IF(O238&lt;0.05,"YES","no")</f>
        <v>no</v>
      </c>
      <c r="U238" s="4" t="str">
        <f aca="false">IF(P238&lt;0.05,"YES","no")</f>
        <v>no</v>
      </c>
      <c r="V238" s="4" t="str">
        <f aca="false">IF(N238&gt;1,"YES","no")</f>
        <v>no</v>
      </c>
    </row>
    <row r="239" customFormat="false" ht="15" hidden="false" customHeight="false" outlineLevel="0" collapsed="false">
      <c r="A239" s="4" t="s">
        <v>378</v>
      </c>
      <c r="B239" s="4"/>
      <c r="C239" s="4" t="s">
        <v>61</v>
      </c>
      <c r="D239" s="8" t="n">
        <v>176.03867</v>
      </c>
      <c r="E239" s="9" t="n">
        <v>5.022</v>
      </c>
      <c r="F239" s="10" t="n">
        <v>378670.814780813</v>
      </c>
      <c r="G239" s="10" t="n">
        <v>187434.377856777</v>
      </c>
      <c r="H239" s="10" t="n">
        <v>519920.914182899</v>
      </c>
      <c r="I239" s="10" t="n">
        <v>133965.487672533</v>
      </c>
      <c r="J239" s="10" t="n">
        <v>442875.405418125</v>
      </c>
      <c r="K239" s="11" t="n">
        <v>1.37301554249394</v>
      </c>
      <c r="L239" s="11" t="n">
        <v>0.457347956841175</v>
      </c>
      <c r="M239" s="11" t="n">
        <v>0.424571875635267</v>
      </c>
      <c r="N239" s="11" t="n">
        <v>0.0840773027904344</v>
      </c>
      <c r="O239" s="12" t="n">
        <v>0.180618783299752</v>
      </c>
      <c r="P239" s="12" t="n">
        <v>0.545793274011047</v>
      </c>
      <c r="Q239" s="4" t="n">
        <f aca="false">RANK(N239,$N$7:$N$307,0)</f>
        <v>233</v>
      </c>
      <c r="R239" s="4" t="n">
        <f aca="false">RANK(O239,$O$7:$O$307,1)</f>
        <v>97</v>
      </c>
      <c r="S239" s="4" t="n">
        <f aca="false">RANK(J239,$J$7:$J$307,0)</f>
        <v>251</v>
      </c>
      <c r="T239" s="4" t="str">
        <f aca="false">IF(O239&lt;0.05,"YES","no")</f>
        <v>no</v>
      </c>
      <c r="U239" s="4" t="str">
        <f aca="false">IF(P239&lt;0.05,"YES","no")</f>
        <v>no</v>
      </c>
      <c r="V239" s="4" t="str">
        <f aca="false">IF(N239&gt;1,"YES","no")</f>
        <v>no</v>
      </c>
    </row>
    <row r="240" customFormat="false" ht="15" hidden="false" customHeight="false" outlineLevel="0" collapsed="false">
      <c r="A240" s="4" t="s">
        <v>350</v>
      </c>
      <c r="B240" s="4"/>
      <c r="C240" s="4" t="s">
        <v>72</v>
      </c>
      <c r="D240" s="8" t="n">
        <v>144.0666</v>
      </c>
      <c r="E240" s="9" t="n">
        <v>6.819</v>
      </c>
      <c r="F240" s="10" t="n">
        <v>514199.22457586</v>
      </c>
      <c r="G240" s="10" t="n">
        <v>323807.038373237</v>
      </c>
      <c r="H240" s="10" t="n">
        <v>356280.369304275</v>
      </c>
      <c r="I240" s="10" t="n">
        <v>92174.331383996</v>
      </c>
      <c r="J240" s="10" t="n">
        <v>442417.92672514</v>
      </c>
      <c r="K240" s="11" t="n">
        <v>0.69288391011899</v>
      </c>
      <c r="L240" s="11" t="n">
        <v>-0.52931443996403</v>
      </c>
      <c r="M240" s="11" t="n">
        <v>0.329551515371222</v>
      </c>
      <c r="N240" s="11" t="n">
        <v>0.0833457503820077</v>
      </c>
      <c r="O240" s="12" t="n">
        <v>0.297923011108131</v>
      </c>
      <c r="P240" s="12" t="n">
        <v>0.611679337278413</v>
      </c>
      <c r="Q240" s="4" t="n">
        <f aca="false">RANK(N240,$N$7:$N$307,0)</f>
        <v>234</v>
      </c>
      <c r="R240" s="4" t="n">
        <f aca="false">RANK(O240,$O$7:$O$307,1)</f>
        <v>146</v>
      </c>
      <c r="S240" s="4" t="n">
        <f aca="false">RANK(J240,$J$7:$J$307,0)</f>
        <v>252</v>
      </c>
      <c r="T240" s="4" t="str">
        <f aca="false">IF(O240&lt;0.05,"YES","no")</f>
        <v>no</v>
      </c>
      <c r="U240" s="4" t="str">
        <f aca="false">IF(P240&lt;0.05,"YES","no")</f>
        <v>no</v>
      </c>
      <c r="V240" s="4" t="str">
        <f aca="false">IF(N240&gt;1,"YES","no")</f>
        <v>no</v>
      </c>
    </row>
    <row r="241" customFormat="false" ht="15" hidden="false" customHeight="false" outlineLevel="0" collapsed="false">
      <c r="A241" s="4" t="s">
        <v>235</v>
      </c>
      <c r="B241" s="4"/>
      <c r="C241" s="4" t="s">
        <v>72</v>
      </c>
      <c r="D241" s="8" t="n">
        <v>204.08668</v>
      </c>
      <c r="E241" s="9" t="n">
        <v>8.886</v>
      </c>
      <c r="F241" s="10" t="n">
        <v>2697564.49207196</v>
      </c>
      <c r="G241" s="10" t="n">
        <v>564573.088820232</v>
      </c>
      <c r="H241" s="10" t="n">
        <v>2750457.54720902</v>
      </c>
      <c r="I241" s="10" t="n">
        <v>549816.612016803</v>
      </c>
      <c r="J241" s="10" t="n">
        <v>2721606.78986153</v>
      </c>
      <c r="K241" s="11" t="n">
        <v>1.01960770735696</v>
      </c>
      <c r="L241" s="11" t="n">
        <v>0.028014184047126</v>
      </c>
      <c r="M241" s="11" t="n">
        <v>0.0521036652930709</v>
      </c>
      <c r="N241" s="11" t="n">
        <v>0.0814173826112528</v>
      </c>
      <c r="O241" s="12" t="n">
        <v>0.878860616101307</v>
      </c>
      <c r="P241" s="12" t="n">
        <v>0.924954704358369</v>
      </c>
      <c r="Q241" s="4" t="n">
        <f aca="false">RANK(N241,$N$7:$N$307,0)</f>
        <v>235</v>
      </c>
      <c r="R241" s="4" t="n">
        <f aca="false">RANK(O241,$O$7:$O$307,1)</f>
        <v>286</v>
      </c>
      <c r="S241" s="4" t="n">
        <f aca="false">RANK(J241,$J$7:$J$307,0)</f>
        <v>158</v>
      </c>
      <c r="T241" s="4" t="str">
        <f aca="false">IF(O241&lt;0.05,"YES","no")</f>
        <v>no</v>
      </c>
      <c r="U241" s="4" t="str">
        <f aca="false">IF(P241&lt;0.05,"YES","no")</f>
        <v>no</v>
      </c>
      <c r="V241" s="4" t="str">
        <f aca="false">IF(N241&gt;1,"YES","no")</f>
        <v>no</v>
      </c>
    </row>
    <row r="242" customFormat="false" ht="15" hidden="false" customHeight="false" outlineLevel="0" collapsed="false">
      <c r="A242" s="4" t="s">
        <v>246</v>
      </c>
      <c r="B242" s="4"/>
      <c r="C242" s="4" t="s">
        <v>72</v>
      </c>
      <c r="D242" s="8" t="n">
        <v>130.08622</v>
      </c>
      <c r="E242" s="9" t="n">
        <v>9.945</v>
      </c>
      <c r="F242" s="10" t="n">
        <v>3699006.51634494</v>
      </c>
      <c r="G242" s="10" t="n">
        <v>800302.683244827</v>
      </c>
      <c r="H242" s="10" t="n">
        <v>3816909.39123377</v>
      </c>
      <c r="I242" s="10" t="n">
        <v>728432.360592052</v>
      </c>
      <c r="J242" s="10" t="n">
        <v>3752598.7322035</v>
      </c>
      <c r="K242" s="11" t="n">
        <v>1.03187420037458</v>
      </c>
      <c r="L242" s="11" t="n">
        <v>0.0452670971580777</v>
      </c>
      <c r="M242" s="11" t="n">
        <v>0.0840801219415082</v>
      </c>
      <c r="N242" s="11" t="n">
        <v>0.0793588566741519</v>
      </c>
      <c r="O242" s="12" t="n">
        <v>0.804113584124017</v>
      </c>
      <c r="P242" s="12" t="n">
        <v>0.896437736375293</v>
      </c>
      <c r="Q242" s="4" t="n">
        <f aca="false">RANK(N242,$N$7:$N$307,0)</f>
        <v>236</v>
      </c>
      <c r="R242" s="4" t="n">
        <f aca="false">RANK(O242,$O$7:$O$307,1)</f>
        <v>270</v>
      </c>
      <c r="S242" s="4" t="n">
        <f aca="false">RANK(J242,$J$7:$J$307,0)</f>
        <v>142</v>
      </c>
      <c r="T242" s="4" t="str">
        <f aca="false">IF(O242&lt;0.05,"YES","no")</f>
        <v>no</v>
      </c>
      <c r="U242" s="4" t="str">
        <f aca="false">IF(P242&lt;0.05,"YES","no")</f>
        <v>no</v>
      </c>
      <c r="V242" s="4" t="str">
        <f aca="false">IF(N242&gt;1,"YES","no")</f>
        <v>no</v>
      </c>
    </row>
    <row r="243" customFormat="false" ht="15" hidden="false" customHeight="false" outlineLevel="0" collapsed="false">
      <c r="A243" s="4" t="s">
        <v>281</v>
      </c>
      <c r="B243" s="4" t="s">
        <v>282</v>
      </c>
      <c r="C243" s="4" t="s">
        <v>72</v>
      </c>
      <c r="D243" s="8" t="n">
        <v>135.04506</v>
      </c>
      <c r="E243" s="9" t="n">
        <v>6.688</v>
      </c>
      <c r="F243" s="10" t="n">
        <v>4791262.93863484</v>
      </c>
      <c r="G243" s="10" t="n">
        <v>1334204.93462373</v>
      </c>
      <c r="H243" s="10" t="n">
        <v>4451170.40558416</v>
      </c>
      <c r="I243" s="10" t="n">
        <v>996096.366397895</v>
      </c>
      <c r="J243" s="10" t="n">
        <v>4636675.4236118</v>
      </c>
      <c r="K243" s="11" t="n">
        <v>0.929018186351595</v>
      </c>
      <c r="L243" s="11" t="n">
        <v>-0.106221255973248</v>
      </c>
      <c r="M243" s="11" t="n">
        <v>0.154676653913345</v>
      </c>
      <c r="N243" s="11" t="n">
        <v>0.0778095851012337</v>
      </c>
      <c r="O243" s="12" t="n">
        <v>0.640493039227423</v>
      </c>
      <c r="P243" s="12" t="n">
        <v>0.803285020031059</v>
      </c>
      <c r="Q243" s="4" t="n">
        <f aca="false">RANK(N243,$N$7:$N$307,0)</f>
        <v>237</v>
      </c>
      <c r="R243" s="4" t="n">
        <f aca="false">RANK(O243,$O$7:$O$307,1)</f>
        <v>240</v>
      </c>
      <c r="S243" s="4" t="n">
        <f aca="false">RANK(J243,$J$7:$J$307,0)</f>
        <v>132</v>
      </c>
      <c r="T243" s="4" t="str">
        <f aca="false">IF(O243&lt;0.05,"YES","no")</f>
        <v>no</v>
      </c>
      <c r="U243" s="4" t="str">
        <f aca="false">IF(P243&lt;0.05,"YES","no")</f>
        <v>no</v>
      </c>
      <c r="V243" s="4" t="str">
        <f aca="false">IF(N243&gt;1,"YES","no")</f>
        <v>no</v>
      </c>
    </row>
    <row r="244" customFormat="false" ht="15" hidden="false" customHeight="false" outlineLevel="0" collapsed="false">
      <c r="A244" s="4" t="s">
        <v>392</v>
      </c>
      <c r="B244" s="4"/>
      <c r="C244" s="4" t="s">
        <v>72</v>
      </c>
      <c r="D244" s="8" t="n">
        <v>404.02579</v>
      </c>
      <c r="E244" s="9" t="n">
        <v>10.524</v>
      </c>
      <c r="F244" s="10" t="n">
        <v>396070.492773719</v>
      </c>
      <c r="G244" s="10" t="n">
        <v>127058.881845853</v>
      </c>
      <c r="H244" s="10" t="n">
        <v>505526.570945063</v>
      </c>
      <c r="I244" s="10" t="n">
        <v>320864.379378837</v>
      </c>
      <c r="J244" s="10" t="n">
        <v>445823.255578875</v>
      </c>
      <c r="K244" s="11" t="n">
        <v>1.27635504327731</v>
      </c>
      <c r="L244" s="11" t="n">
        <v>0.352029698951482</v>
      </c>
      <c r="M244" s="11" t="n">
        <v>0.249423663482681</v>
      </c>
      <c r="N244" s="11" t="n">
        <v>0.0774932562092535</v>
      </c>
      <c r="O244" s="12" t="n">
        <v>0.504989064025619</v>
      </c>
      <c r="P244" s="12" t="n">
        <v>0.712160798284355</v>
      </c>
      <c r="Q244" s="4" t="n">
        <f aca="false">RANK(N244,$N$7:$N$307,0)</f>
        <v>238</v>
      </c>
      <c r="R244" s="4" t="n">
        <f aca="false">RANK(O244,$O$7:$O$307,1)</f>
        <v>213</v>
      </c>
      <c r="S244" s="4" t="n">
        <f aca="false">RANK(J244,$J$7:$J$307,0)</f>
        <v>249</v>
      </c>
      <c r="T244" s="4" t="str">
        <f aca="false">IF(O244&lt;0.05,"YES","no")</f>
        <v>no</v>
      </c>
      <c r="U244" s="4" t="str">
        <f aca="false">IF(P244&lt;0.05,"YES","no")</f>
        <v>no</v>
      </c>
      <c r="V244" s="4" t="str">
        <f aca="false">IF(N244&gt;1,"YES","no")</f>
        <v>no</v>
      </c>
    </row>
    <row r="245" customFormat="false" ht="15" hidden="false" customHeight="false" outlineLevel="0" collapsed="false">
      <c r="A245" s="4" t="s">
        <v>306</v>
      </c>
      <c r="B245" s="4"/>
      <c r="C245" s="4" t="s">
        <v>72</v>
      </c>
      <c r="D245" s="8" t="n">
        <v>295.12866</v>
      </c>
      <c r="E245" s="9" t="n">
        <v>8.215</v>
      </c>
      <c r="F245" s="10" t="n">
        <v>272438.909651148</v>
      </c>
      <c r="G245" s="10" t="n">
        <v>168303.315878326</v>
      </c>
      <c r="H245" s="10" t="n">
        <v>153077.905527765</v>
      </c>
      <c r="I245" s="10" t="n">
        <v>92522.5313312587</v>
      </c>
      <c r="J245" s="10" t="n">
        <v>218183.907776883</v>
      </c>
      <c r="K245" s="11" t="n">
        <v>0.561879746633026</v>
      </c>
      <c r="L245" s="11" t="n">
        <v>-0.831666696647369</v>
      </c>
      <c r="M245" s="11" t="n">
        <v>0.425385930769765</v>
      </c>
      <c r="N245" s="11" t="n">
        <v>0.077258501568434</v>
      </c>
      <c r="O245" s="12" t="n">
        <v>0.175150182703123</v>
      </c>
      <c r="P245" s="12" t="n">
        <v>0.545793274011047</v>
      </c>
      <c r="Q245" s="4" t="n">
        <f aca="false">RANK(N245,$N$7:$N$307,0)</f>
        <v>239</v>
      </c>
      <c r="R245" s="4" t="n">
        <f aca="false">RANK(O245,$O$7:$O$307,1)</f>
        <v>94</v>
      </c>
      <c r="S245" s="4" t="n">
        <f aca="false">RANK(J245,$J$7:$J$307,0)</f>
        <v>273</v>
      </c>
      <c r="T245" s="4" t="str">
        <f aca="false">IF(O245&lt;0.05,"YES","no")</f>
        <v>no</v>
      </c>
      <c r="U245" s="4" t="str">
        <f aca="false">IF(P245&lt;0.05,"YES","no")</f>
        <v>no</v>
      </c>
      <c r="V245" s="4" t="str">
        <f aca="false">IF(N245&gt;1,"YES","no")</f>
        <v>no</v>
      </c>
    </row>
    <row r="246" customFormat="false" ht="15" hidden="false" customHeight="false" outlineLevel="0" collapsed="false">
      <c r="A246" s="4" t="s">
        <v>111</v>
      </c>
      <c r="B246" s="4"/>
      <c r="C246" s="4" t="s">
        <v>72</v>
      </c>
      <c r="D246" s="8" t="n">
        <v>514.28466</v>
      </c>
      <c r="E246" s="9" t="n">
        <v>4.74</v>
      </c>
      <c r="F246" s="10" t="n">
        <v>175923.247640186</v>
      </c>
      <c r="G246" s="10" t="n">
        <v>44018.542954847</v>
      </c>
      <c r="H246" s="10" t="n">
        <v>266969.333721499</v>
      </c>
      <c r="I246" s="10" t="n">
        <v>93438.7037998417</v>
      </c>
      <c r="J246" s="10" t="n">
        <v>217307.832222601</v>
      </c>
      <c r="K246" s="11" t="n">
        <v>1.51753299977458</v>
      </c>
      <c r="L246" s="11" t="n">
        <v>0.601727889194959</v>
      </c>
      <c r="M246" s="11" t="n">
        <v>0.579936363078303</v>
      </c>
      <c r="N246" s="11" t="n">
        <v>0.0752321071929677</v>
      </c>
      <c r="O246" s="12" t="n">
        <v>0.0968673006217953</v>
      </c>
      <c r="P246" s="12" t="n">
        <v>0.486863080767276</v>
      </c>
      <c r="Q246" s="4" t="n">
        <f aca="false">RANK(N246,$N$7:$N$307,0)</f>
        <v>240</v>
      </c>
      <c r="R246" s="4" t="n">
        <f aca="false">RANK(O246,$O$7:$O$307,1)</f>
        <v>59</v>
      </c>
      <c r="S246" s="4" t="n">
        <f aca="false">RANK(J246,$J$7:$J$307,0)</f>
        <v>274</v>
      </c>
      <c r="T246" s="4" t="str">
        <f aca="false">IF(O246&lt;0.05,"YES","no")</f>
        <v>no</v>
      </c>
      <c r="U246" s="4" t="str">
        <f aca="false">IF(P246&lt;0.05,"YES","no")</f>
        <v>no</v>
      </c>
      <c r="V246" s="4" t="str">
        <f aca="false">IF(N246&gt;1,"YES","no")</f>
        <v>no</v>
      </c>
    </row>
    <row r="247" customFormat="false" ht="15" hidden="false" customHeight="false" outlineLevel="0" collapsed="false">
      <c r="A247" s="4" t="s">
        <v>355</v>
      </c>
      <c r="B247" s="4"/>
      <c r="C247" s="4" t="s">
        <v>61</v>
      </c>
      <c r="D247" s="8" t="n">
        <v>377.1459</v>
      </c>
      <c r="E247" s="9" t="n">
        <v>7.534</v>
      </c>
      <c r="F247" s="10" t="n">
        <v>399717.489494545</v>
      </c>
      <c r="G247" s="10" t="n">
        <v>311244.573971088</v>
      </c>
      <c r="H247" s="10" t="n">
        <v>517766.438029559</v>
      </c>
      <c r="I247" s="10" t="n">
        <v>233183.330893626</v>
      </c>
      <c r="J247" s="10" t="n">
        <v>453376.102465006</v>
      </c>
      <c r="K247" s="11" t="n">
        <v>1.29533095658209</v>
      </c>
      <c r="L247" s="11" t="n">
        <v>0.373320753060788</v>
      </c>
      <c r="M247" s="11" t="n">
        <v>0.226646357919544</v>
      </c>
      <c r="N247" s="11" t="n">
        <v>0.075099245262351</v>
      </c>
      <c r="O247" s="12" t="n">
        <v>0.491011760655593</v>
      </c>
      <c r="P247" s="12" t="n">
        <v>0.700448056669827</v>
      </c>
      <c r="Q247" s="4" t="n">
        <f aca="false">RANK(N247,$N$7:$N$307,0)</f>
        <v>241</v>
      </c>
      <c r="R247" s="4" t="n">
        <f aca="false">RANK(O247,$O$7:$O$307,1)</f>
        <v>211</v>
      </c>
      <c r="S247" s="4" t="n">
        <f aca="false">RANK(J247,$J$7:$J$307,0)</f>
        <v>246</v>
      </c>
      <c r="T247" s="4" t="str">
        <f aca="false">IF(O247&lt;0.05,"YES","no")</f>
        <v>no</v>
      </c>
      <c r="U247" s="4" t="str">
        <f aca="false">IF(P247&lt;0.05,"YES","no")</f>
        <v>no</v>
      </c>
      <c r="V247" s="4" t="str">
        <f aca="false">IF(N247&gt;1,"YES","no")</f>
        <v>no</v>
      </c>
    </row>
    <row r="248" customFormat="false" ht="15" hidden="false" customHeight="false" outlineLevel="0" collapsed="false">
      <c r="A248" s="4" t="s">
        <v>410</v>
      </c>
      <c r="B248" s="4" t="s">
        <v>411</v>
      </c>
      <c r="C248" s="4" t="s">
        <v>72</v>
      </c>
      <c r="D248" s="8" t="n">
        <v>542.06863</v>
      </c>
      <c r="E248" s="9" t="n">
        <v>8.412</v>
      </c>
      <c r="F248" s="10" t="n">
        <v>160300.667652412</v>
      </c>
      <c r="G248" s="10" t="n">
        <v>110998.046417012</v>
      </c>
      <c r="H248" s="10" t="n">
        <v>272867.466789667</v>
      </c>
      <c r="I248" s="10" t="n">
        <v>180639.706665837</v>
      </c>
      <c r="J248" s="10" t="n">
        <v>211467.394532983</v>
      </c>
      <c r="K248" s="11" t="n">
        <v>1.70222289642198</v>
      </c>
      <c r="L248" s="11" t="n">
        <v>0.767419962116542</v>
      </c>
      <c r="M248" s="11" t="n">
        <v>0.390449131494489</v>
      </c>
      <c r="N248" s="11" t="n">
        <v>0.0690803858491069</v>
      </c>
      <c r="O248" s="12" t="n">
        <v>0.267142610685404</v>
      </c>
      <c r="P248" s="12" t="n">
        <v>0.589747674995542</v>
      </c>
      <c r="Q248" s="4" t="n">
        <f aca="false">RANK(N248,$N$7:$N$307,0)</f>
        <v>242</v>
      </c>
      <c r="R248" s="4" t="n">
        <f aca="false">RANK(O248,$O$7:$O$307,1)</f>
        <v>135</v>
      </c>
      <c r="S248" s="4" t="n">
        <f aca="false">RANK(J248,$J$7:$J$307,0)</f>
        <v>276</v>
      </c>
      <c r="T248" s="4" t="str">
        <f aca="false">IF(O248&lt;0.05,"YES","no")</f>
        <v>no</v>
      </c>
      <c r="U248" s="4" t="str">
        <f aca="false">IF(P248&lt;0.05,"YES","no")</f>
        <v>no</v>
      </c>
      <c r="V248" s="4" t="str">
        <f aca="false">IF(N248&gt;1,"YES","no")</f>
        <v>no</v>
      </c>
    </row>
    <row r="249" customFormat="false" ht="15" hidden="false" customHeight="false" outlineLevel="0" collapsed="false">
      <c r="A249" s="4" t="s">
        <v>325</v>
      </c>
      <c r="B249" s="4"/>
      <c r="C249" s="4" t="s">
        <v>61</v>
      </c>
      <c r="D249" s="8" t="n">
        <v>162.07602</v>
      </c>
      <c r="E249" s="9" t="n">
        <v>9.033</v>
      </c>
      <c r="F249" s="10" t="n">
        <v>2120862.4054845</v>
      </c>
      <c r="G249" s="10" t="n">
        <v>717482.619692389</v>
      </c>
      <c r="H249" s="10" t="n">
        <v>2116434.52401691</v>
      </c>
      <c r="I249" s="10" t="n">
        <v>441175.978763368</v>
      </c>
      <c r="J249" s="10" t="n">
        <v>2118849.73209014</v>
      </c>
      <c r="K249" s="11" t="n">
        <v>0.997912225962356</v>
      </c>
      <c r="L249" s="11" t="n">
        <v>-0.00301516984362018</v>
      </c>
      <c r="M249" s="11" t="n">
        <v>0.0039937010678048</v>
      </c>
      <c r="N249" s="11" t="n">
        <v>0.0680579709841524</v>
      </c>
      <c r="O249" s="12" t="n">
        <v>0.990289118424934</v>
      </c>
      <c r="P249" s="12" t="n">
        <v>0.991963397206317</v>
      </c>
      <c r="Q249" s="4" t="n">
        <f aca="false">RANK(N249,$N$7:$N$307,0)</f>
        <v>243</v>
      </c>
      <c r="R249" s="4" t="n">
        <f aca="false">RANK(O249,$O$7:$O$307,1)</f>
        <v>299</v>
      </c>
      <c r="S249" s="4" t="n">
        <f aca="false">RANK(J249,$J$7:$J$307,0)</f>
        <v>172</v>
      </c>
      <c r="T249" s="4" t="str">
        <f aca="false">IF(O249&lt;0.05,"YES","no")</f>
        <v>no</v>
      </c>
      <c r="U249" s="4" t="str">
        <f aca="false">IF(P249&lt;0.05,"YES","no")</f>
        <v>no</v>
      </c>
      <c r="V249" s="4" t="str">
        <f aca="false">IF(N249&gt;1,"YES","no")</f>
        <v>no</v>
      </c>
    </row>
    <row r="250" customFormat="false" ht="15" hidden="false" customHeight="false" outlineLevel="0" collapsed="false">
      <c r="A250" s="4" t="s">
        <v>213</v>
      </c>
      <c r="B250" s="4"/>
      <c r="C250" s="4" t="s">
        <v>72</v>
      </c>
      <c r="D250" s="8" t="n">
        <v>87.04504</v>
      </c>
      <c r="E250" s="9" t="n">
        <v>6.833</v>
      </c>
      <c r="F250" s="10" t="n">
        <v>2384822.15134268</v>
      </c>
      <c r="G250" s="10" t="n">
        <v>1033930.67079956</v>
      </c>
      <c r="H250" s="10" t="n">
        <v>2141516.72572125</v>
      </c>
      <c r="I250" s="10" t="n">
        <v>353247.012597348</v>
      </c>
      <c r="J250" s="10" t="n">
        <v>2274228.77606021</v>
      </c>
      <c r="K250" s="11" t="n">
        <v>0.897977538708934</v>
      </c>
      <c r="L250" s="11" t="n">
        <v>-0.155248735888094</v>
      </c>
      <c r="M250" s="11" t="n">
        <v>0.163959376442854</v>
      </c>
      <c r="N250" s="11" t="n">
        <v>0.0669777777599976</v>
      </c>
      <c r="O250" s="12" t="n">
        <v>0.607721647917604</v>
      </c>
      <c r="P250" s="12" t="n">
        <v>0.785703091296693</v>
      </c>
      <c r="Q250" s="4" t="n">
        <f aca="false">RANK(N250,$N$7:$N$307,0)</f>
        <v>244</v>
      </c>
      <c r="R250" s="4" t="n">
        <f aca="false">RANK(O250,$O$7:$O$307,1)</f>
        <v>232</v>
      </c>
      <c r="S250" s="4" t="n">
        <f aca="false">RANK(J250,$J$7:$J$307,0)</f>
        <v>168</v>
      </c>
      <c r="T250" s="4" t="str">
        <f aca="false">IF(O250&lt;0.05,"YES","no")</f>
        <v>no</v>
      </c>
      <c r="U250" s="4" t="str">
        <f aca="false">IF(P250&lt;0.05,"YES","no")</f>
        <v>no</v>
      </c>
      <c r="V250" s="4" t="str">
        <f aca="false">IF(N250&gt;1,"YES","no")</f>
        <v>no</v>
      </c>
    </row>
    <row r="251" customFormat="false" ht="15" hidden="false" customHeight="false" outlineLevel="0" collapsed="false">
      <c r="A251" s="4" t="s">
        <v>240</v>
      </c>
      <c r="B251" s="4"/>
      <c r="C251" s="4" t="s">
        <v>61</v>
      </c>
      <c r="D251" s="8" t="n">
        <v>300.04881</v>
      </c>
      <c r="E251" s="9" t="n">
        <v>9.663</v>
      </c>
      <c r="F251" s="10" t="n">
        <v>358846.970653077</v>
      </c>
      <c r="G251" s="10" t="n">
        <v>132371.9798265</v>
      </c>
      <c r="H251" s="10" t="n">
        <v>453193.844352051</v>
      </c>
      <c r="I251" s="10" t="n">
        <v>178142.073229978</v>
      </c>
      <c r="J251" s="10" t="n">
        <v>401731.91324352</v>
      </c>
      <c r="K251" s="11" t="n">
        <v>1.26291673447116</v>
      </c>
      <c r="L251" s="11" t="n">
        <v>0.336759523745021</v>
      </c>
      <c r="M251" s="11" t="n">
        <v>0.318823685752545</v>
      </c>
      <c r="N251" s="11" t="n">
        <v>0.0648621794949029</v>
      </c>
      <c r="O251" s="12" t="n">
        <v>0.358446042006463</v>
      </c>
      <c r="P251" s="12" t="n">
        <v>0.623654674242459</v>
      </c>
      <c r="Q251" s="4" t="n">
        <f aca="false">RANK(N251,$N$7:$N$307,0)</f>
        <v>245</v>
      </c>
      <c r="R251" s="4" t="n">
        <f aca="false">RANK(O251,$O$7:$O$307,1)</f>
        <v>173</v>
      </c>
      <c r="S251" s="4" t="n">
        <f aca="false">RANK(J251,$J$7:$J$307,0)</f>
        <v>255</v>
      </c>
      <c r="T251" s="4" t="str">
        <f aca="false">IF(O251&lt;0.05,"YES","no")</f>
        <v>no</v>
      </c>
      <c r="U251" s="4" t="str">
        <f aca="false">IF(P251&lt;0.05,"YES","no")</f>
        <v>no</v>
      </c>
      <c r="V251" s="4" t="str">
        <f aca="false">IF(N251&gt;1,"YES","no")</f>
        <v>no</v>
      </c>
    </row>
    <row r="252" customFormat="false" ht="15" hidden="false" customHeight="false" outlineLevel="0" collapsed="false">
      <c r="A252" s="4" t="s">
        <v>186</v>
      </c>
      <c r="B252" s="4" t="s">
        <v>187</v>
      </c>
      <c r="C252" s="4" t="s">
        <v>61</v>
      </c>
      <c r="D252" s="8" t="n">
        <v>131.04618</v>
      </c>
      <c r="E252" s="9" t="n">
        <v>11.044</v>
      </c>
      <c r="F252" s="10" t="n">
        <v>1446273.08408757</v>
      </c>
      <c r="G252" s="10" t="n">
        <v>276074.454003515</v>
      </c>
      <c r="H252" s="10" t="n">
        <v>1406874.88620922</v>
      </c>
      <c r="I252" s="10" t="n">
        <v>222531.306025758</v>
      </c>
      <c r="J252" s="10" t="n">
        <v>1428364.81232469</v>
      </c>
      <c r="K252" s="11" t="n">
        <v>0.972758811380909</v>
      </c>
      <c r="L252" s="11" t="n">
        <v>-0.0398459515031957</v>
      </c>
      <c r="M252" s="11" t="n">
        <v>0.0851839136274412</v>
      </c>
      <c r="N252" s="11" t="n">
        <v>0.0645072508405068</v>
      </c>
      <c r="O252" s="12" t="n">
        <v>0.799195668989157</v>
      </c>
      <c r="P252" s="12" t="n">
        <v>0.896437736375293</v>
      </c>
      <c r="Q252" s="4" t="n">
        <f aca="false">RANK(N252,$N$7:$N$307,0)</f>
        <v>246</v>
      </c>
      <c r="R252" s="4" t="n">
        <f aca="false">RANK(O252,$O$7:$O$307,1)</f>
        <v>266</v>
      </c>
      <c r="S252" s="4" t="n">
        <f aca="false">RANK(J252,$J$7:$J$307,0)</f>
        <v>199</v>
      </c>
      <c r="T252" s="4" t="str">
        <f aca="false">IF(O252&lt;0.05,"YES","no")</f>
        <v>no</v>
      </c>
      <c r="U252" s="4" t="str">
        <f aca="false">IF(P252&lt;0.05,"YES","no")</f>
        <v>no</v>
      </c>
      <c r="V252" s="4" t="str">
        <f aca="false">IF(N252&gt;1,"YES","no")</f>
        <v>no</v>
      </c>
    </row>
    <row r="253" customFormat="false" ht="15" hidden="false" customHeight="false" outlineLevel="0" collapsed="false">
      <c r="A253" s="4" t="s">
        <v>155</v>
      </c>
      <c r="B253" s="4"/>
      <c r="C253" s="4" t="s">
        <v>61</v>
      </c>
      <c r="D253" s="8" t="n">
        <v>195.051</v>
      </c>
      <c r="E253" s="9" t="n">
        <v>9.672</v>
      </c>
      <c r="F253" s="10" t="n">
        <v>2475399.8414983</v>
      </c>
      <c r="G253" s="10" t="n">
        <v>471777.617606118</v>
      </c>
      <c r="H253" s="10" t="n">
        <v>2285740.523758</v>
      </c>
      <c r="I253" s="10" t="n">
        <v>687736.190670164</v>
      </c>
      <c r="J253" s="10" t="n">
        <v>2389191.06070725</v>
      </c>
      <c r="K253" s="11" t="n">
        <v>0.923382350373947</v>
      </c>
      <c r="L253" s="11" t="n">
        <v>-0.114999938059244</v>
      </c>
      <c r="M253" s="11" t="n">
        <v>0.177809439263276</v>
      </c>
      <c r="N253" s="11" t="n">
        <v>0.0643695632175224</v>
      </c>
      <c r="O253" s="12" t="n">
        <v>0.617579663513754</v>
      </c>
      <c r="P253" s="12" t="n">
        <v>0.791027569011233</v>
      </c>
      <c r="Q253" s="4" t="n">
        <f aca="false">RANK(N253,$N$7:$N$307,0)</f>
        <v>247</v>
      </c>
      <c r="R253" s="4" t="n">
        <f aca="false">RANK(O253,$O$7:$O$307,1)</f>
        <v>235</v>
      </c>
      <c r="S253" s="4" t="n">
        <f aca="false">RANK(J253,$J$7:$J$307,0)</f>
        <v>166</v>
      </c>
      <c r="T253" s="4" t="str">
        <f aca="false">IF(O253&lt;0.05,"YES","no")</f>
        <v>no</v>
      </c>
      <c r="U253" s="4" t="str">
        <f aca="false">IF(P253&lt;0.05,"YES","no")</f>
        <v>no</v>
      </c>
      <c r="V253" s="4" t="str">
        <f aca="false">IF(N253&gt;1,"YES","no")</f>
        <v>no</v>
      </c>
    </row>
    <row r="254" customFormat="false" ht="15" hidden="false" customHeight="false" outlineLevel="0" collapsed="false">
      <c r="A254" s="4" t="s">
        <v>401</v>
      </c>
      <c r="B254" s="4" t="s">
        <v>402</v>
      </c>
      <c r="C254" s="4" t="s">
        <v>61</v>
      </c>
      <c r="D254" s="8" t="n">
        <v>335.06412</v>
      </c>
      <c r="E254" s="9" t="n">
        <v>10.639</v>
      </c>
      <c r="F254" s="10" t="n">
        <v>451266.099605728</v>
      </c>
      <c r="G254" s="10" t="n">
        <v>218737.558577253</v>
      </c>
      <c r="H254" s="10" t="n">
        <v>338853.190041592</v>
      </c>
      <c r="I254" s="10" t="n">
        <v>108107.187078117</v>
      </c>
      <c r="J254" s="10" t="n">
        <v>400169.322531121</v>
      </c>
      <c r="K254" s="11" t="n">
        <v>0.750894406510148</v>
      </c>
      <c r="L254" s="11" t="n">
        <v>-0.413318049884037</v>
      </c>
      <c r="M254" s="11" t="n">
        <v>0.327948132393224</v>
      </c>
      <c r="N254" s="11" t="n">
        <v>0.0641444018989157</v>
      </c>
      <c r="O254" s="12" t="n">
        <v>0.302311352327535</v>
      </c>
      <c r="P254" s="12" t="n">
        <v>0.611679337278413</v>
      </c>
      <c r="Q254" s="4" t="n">
        <f aca="false">RANK(N254,$N$7:$N$307,0)</f>
        <v>248</v>
      </c>
      <c r="R254" s="4" t="n">
        <f aca="false">RANK(O254,$O$7:$O$307,1)</f>
        <v>148</v>
      </c>
      <c r="S254" s="4" t="n">
        <f aca="false">RANK(J254,$J$7:$J$307,0)</f>
        <v>256</v>
      </c>
      <c r="T254" s="4" t="str">
        <f aca="false">IF(O254&lt;0.05,"YES","no")</f>
        <v>no</v>
      </c>
      <c r="U254" s="4" t="str">
        <f aca="false">IF(P254&lt;0.05,"YES","no")</f>
        <v>no</v>
      </c>
      <c r="V254" s="4" t="str">
        <f aca="false">IF(N254&gt;1,"YES","no")</f>
        <v>no</v>
      </c>
    </row>
    <row r="255" customFormat="false" ht="15" hidden="false" customHeight="false" outlineLevel="0" collapsed="false">
      <c r="A255" s="4" t="s">
        <v>126</v>
      </c>
      <c r="B255" s="4"/>
      <c r="C255" s="4" t="s">
        <v>72</v>
      </c>
      <c r="D255" s="8" t="n">
        <v>154.06224</v>
      </c>
      <c r="E255" s="9" t="n">
        <v>12.328</v>
      </c>
      <c r="F255" s="10" t="n">
        <v>36358638.9992455</v>
      </c>
      <c r="G255" s="10" t="n">
        <v>11103039.5109645</v>
      </c>
      <c r="H255" s="10" t="n">
        <v>36729203.4524928</v>
      </c>
      <c r="I255" s="10" t="n">
        <v>7881065.9973378</v>
      </c>
      <c r="J255" s="10" t="n">
        <v>36527077.3870852</v>
      </c>
      <c r="K255" s="11" t="n">
        <v>1.01019192311503</v>
      </c>
      <c r="L255" s="11" t="n">
        <v>0.0146294120089751</v>
      </c>
      <c r="M255" s="11" t="n">
        <v>0.0208050179351358</v>
      </c>
      <c r="N255" s="11" t="n">
        <v>0.0614518966474949</v>
      </c>
      <c r="O255" s="12" t="n">
        <v>0.949978427862159</v>
      </c>
      <c r="P255" s="12" t="n">
        <v>0.97198159172614</v>
      </c>
      <c r="Q255" s="4" t="n">
        <f aca="false">RANK(N255,$N$7:$N$307,0)</f>
        <v>249</v>
      </c>
      <c r="R255" s="4" t="n">
        <f aca="false">RANK(O255,$O$7:$O$307,1)</f>
        <v>294</v>
      </c>
      <c r="S255" s="4" t="n">
        <f aca="false">RANK(J255,$J$7:$J$307,0)</f>
        <v>53</v>
      </c>
      <c r="T255" s="4" t="str">
        <f aca="false">IF(O255&lt;0.05,"YES","no")</f>
        <v>no</v>
      </c>
      <c r="U255" s="4" t="str">
        <f aca="false">IF(P255&lt;0.05,"YES","no")</f>
        <v>no</v>
      </c>
      <c r="V255" s="4" t="str">
        <f aca="false">IF(N255&gt;1,"YES","no")</f>
        <v>no</v>
      </c>
    </row>
    <row r="256" customFormat="false" ht="15" hidden="false" customHeight="false" outlineLevel="0" collapsed="false">
      <c r="A256" s="4" t="s">
        <v>234</v>
      </c>
      <c r="B256" s="4"/>
      <c r="C256" s="4" t="s">
        <v>61</v>
      </c>
      <c r="D256" s="8" t="n">
        <v>159.03002</v>
      </c>
      <c r="E256" s="9" t="n">
        <v>8.888</v>
      </c>
      <c r="F256" s="10" t="n">
        <v>200879.729131378</v>
      </c>
      <c r="G256" s="10" t="n">
        <v>71719.2257499822</v>
      </c>
      <c r="H256" s="10" t="n">
        <v>125362.676257788</v>
      </c>
      <c r="I256" s="10" t="n">
        <v>101289.447365917</v>
      </c>
      <c r="J256" s="10" t="n">
        <v>166553.796007019</v>
      </c>
      <c r="K256" s="11" t="n">
        <v>0.624068325857802</v>
      </c>
      <c r="L256" s="11" t="n">
        <v>-0.680224104293611</v>
      </c>
      <c r="M256" s="11" t="n">
        <v>0.434694413129073</v>
      </c>
      <c r="N256" s="11" t="n">
        <v>0.0606862307160946</v>
      </c>
      <c r="O256" s="12" t="n">
        <v>0.203889721676276</v>
      </c>
      <c r="P256" s="12" t="n">
        <v>0.545793274011047</v>
      </c>
      <c r="Q256" s="4" t="n">
        <f aca="false">RANK(N256,$N$7:$N$307,0)</f>
        <v>250</v>
      </c>
      <c r="R256" s="4" t="n">
        <f aca="false">RANK(O256,$O$7:$O$307,1)</f>
        <v>109</v>
      </c>
      <c r="S256" s="4" t="n">
        <f aca="false">RANK(J256,$J$7:$J$307,0)</f>
        <v>281</v>
      </c>
      <c r="T256" s="4" t="str">
        <f aca="false">IF(O256&lt;0.05,"YES","no")</f>
        <v>no</v>
      </c>
      <c r="U256" s="4" t="str">
        <f aca="false">IF(P256&lt;0.05,"YES","no")</f>
        <v>no</v>
      </c>
      <c r="V256" s="4" t="str">
        <f aca="false">IF(N256&gt;1,"YES","no")</f>
        <v>no</v>
      </c>
    </row>
    <row r="257" customFormat="false" ht="15" hidden="false" customHeight="false" outlineLevel="0" collapsed="false">
      <c r="A257" s="4" t="s">
        <v>408</v>
      </c>
      <c r="B257" s="4"/>
      <c r="C257" s="4" t="s">
        <v>72</v>
      </c>
      <c r="D257" s="8" t="n">
        <v>241.07306</v>
      </c>
      <c r="E257" s="9" t="n">
        <v>5.008</v>
      </c>
      <c r="F257" s="10" t="n">
        <v>422899.817071478</v>
      </c>
      <c r="G257" s="10" t="n">
        <v>61263.3596492571</v>
      </c>
      <c r="H257" s="10" t="n">
        <v>484637.068439172</v>
      </c>
      <c r="I257" s="10" t="n">
        <v>44500.5386245711</v>
      </c>
      <c r="J257" s="10" t="n">
        <v>450962.204056793</v>
      </c>
      <c r="K257" s="11" t="n">
        <v>1.14598552393618</v>
      </c>
      <c r="L257" s="11" t="n">
        <v>0.196588820118037</v>
      </c>
      <c r="M257" s="11" t="n">
        <v>0.52945504147182</v>
      </c>
      <c r="N257" s="11" t="n">
        <v>0.0590405636334946</v>
      </c>
      <c r="O257" s="12" t="n">
        <v>0.0858806920550593</v>
      </c>
      <c r="P257" s="12" t="n">
        <v>0.483522015532954</v>
      </c>
      <c r="Q257" s="4" t="n">
        <f aca="false">RANK(N257,$N$7:$N$307,0)</f>
        <v>251</v>
      </c>
      <c r="R257" s="4" t="n">
        <f aca="false">RANK(O257,$O$7:$O$307,1)</f>
        <v>53</v>
      </c>
      <c r="S257" s="4" t="n">
        <f aca="false">RANK(J257,$J$7:$J$307,0)</f>
        <v>247</v>
      </c>
      <c r="T257" s="4" t="str">
        <f aca="false">IF(O257&lt;0.05,"YES","no")</f>
        <v>no</v>
      </c>
      <c r="U257" s="4" t="str">
        <f aca="false">IF(P257&lt;0.05,"YES","no")</f>
        <v>no</v>
      </c>
      <c r="V257" s="4" t="str">
        <f aca="false">IF(N257&gt;1,"YES","no")</f>
        <v>no</v>
      </c>
    </row>
    <row r="258" customFormat="false" ht="15" hidden="false" customHeight="false" outlineLevel="0" collapsed="false">
      <c r="A258" s="4" t="s">
        <v>263</v>
      </c>
      <c r="B258" s="4"/>
      <c r="C258" s="4" t="s">
        <v>61</v>
      </c>
      <c r="D258" s="8" t="n">
        <v>308.09847</v>
      </c>
      <c r="E258" s="9" t="n">
        <v>9.023</v>
      </c>
      <c r="F258" s="10" t="n">
        <v>1405324.47348244</v>
      </c>
      <c r="G258" s="10" t="n">
        <v>271854.258378267</v>
      </c>
      <c r="H258" s="10" t="n">
        <v>1513487.3422697</v>
      </c>
      <c r="I258" s="10" t="n">
        <v>220121.74310664</v>
      </c>
      <c r="J258" s="10" t="n">
        <v>1454489.41384028</v>
      </c>
      <c r="K258" s="11" t="n">
        <v>1.07696647345735</v>
      </c>
      <c r="L258" s="11" t="n">
        <v>0.106973338712505</v>
      </c>
      <c r="M258" s="11" t="n">
        <v>0.231523258068937</v>
      </c>
      <c r="N258" s="11" t="n">
        <v>0.0582571327236532</v>
      </c>
      <c r="O258" s="12" t="n">
        <v>0.484482957104114</v>
      </c>
      <c r="P258" s="12" t="n">
        <v>0.700448056669827</v>
      </c>
      <c r="Q258" s="4" t="n">
        <f aca="false">RANK(N258,$N$7:$N$307,0)</f>
        <v>252</v>
      </c>
      <c r="R258" s="4" t="n">
        <f aca="false">RANK(O258,$O$7:$O$307,1)</f>
        <v>207</v>
      </c>
      <c r="S258" s="4" t="n">
        <f aca="false">RANK(J258,$J$7:$J$307,0)</f>
        <v>197</v>
      </c>
      <c r="T258" s="4" t="str">
        <f aca="false">IF(O258&lt;0.05,"YES","no")</f>
        <v>no</v>
      </c>
      <c r="U258" s="4" t="str">
        <f aca="false">IF(P258&lt;0.05,"YES","no")</f>
        <v>no</v>
      </c>
      <c r="V258" s="4" t="str">
        <f aca="false">IF(N258&gt;1,"YES","no")</f>
        <v>no</v>
      </c>
    </row>
    <row r="259" customFormat="false" ht="15" hidden="false" customHeight="false" outlineLevel="0" collapsed="false">
      <c r="A259" s="4" t="s">
        <v>259</v>
      </c>
      <c r="B259" s="4"/>
      <c r="C259" s="4" t="s">
        <v>61</v>
      </c>
      <c r="D259" s="8" t="n">
        <v>127.05014</v>
      </c>
      <c r="E259" s="9" t="n">
        <v>9.201</v>
      </c>
      <c r="F259" s="10" t="n">
        <v>657455.430539159</v>
      </c>
      <c r="G259" s="10" t="n">
        <v>98275.49313972</v>
      </c>
      <c r="H259" s="10" t="n">
        <v>720525.653871881</v>
      </c>
      <c r="I259" s="10" t="n">
        <v>159118.664740954</v>
      </c>
      <c r="J259" s="10" t="n">
        <v>686123.713872214</v>
      </c>
      <c r="K259" s="11" t="n">
        <v>1.09593079683135</v>
      </c>
      <c r="L259" s="11" t="n">
        <v>0.132156701382062</v>
      </c>
      <c r="M259" s="11" t="n">
        <v>0.260056342764794</v>
      </c>
      <c r="N259" s="11" t="n">
        <v>0.0579913234985449</v>
      </c>
      <c r="O259" s="12" t="n">
        <v>0.46750965888232</v>
      </c>
      <c r="P259" s="12" t="n">
        <v>0.69664793329954</v>
      </c>
      <c r="Q259" s="4" t="n">
        <f aca="false">RANK(N259,$N$7:$N$307,0)</f>
        <v>253</v>
      </c>
      <c r="R259" s="4" t="n">
        <f aca="false">RANK(O259,$O$7:$O$307,1)</f>
        <v>201</v>
      </c>
      <c r="S259" s="4" t="n">
        <f aca="false">RANK(J259,$J$7:$J$307,0)</f>
        <v>233</v>
      </c>
      <c r="T259" s="4" t="str">
        <f aca="false">IF(O259&lt;0.05,"YES","no")</f>
        <v>no</v>
      </c>
      <c r="U259" s="4" t="str">
        <f aca="false">IF(P259&lt;0.05,"YES","no")</f>
        <v>no</v>
      </c>
      <c r="V259" s="4" t="str">
        <f aca="false">IF(N259&gt;1,"YES","no")</f>
        <v>no</v>
      </c>
    </row>
    <row r="260" customFormat="false" ht="15" hidden="false" customHeight="false" outlineLevel="0" collapsed="false">
      <c r="A260" s="4" t="s">
        <v>258</v>
      </c>
      <c r="B260" s="4"/>
      <c r="C260" s="4" t="s">
        <v>61</v>
      </c>
      <c r="D260" s="8" t="n">
        <v>172.09791</v>
      </c>
      <c r="E260" s="9" t="n">
        <v>4.867</v>
      </c>
      <c r="F260" s="10" t="n">
        <v>495516.384461106</v>
      </c>
      <c r="G260" s="10" t="n">
        <v>353176.473338951</v>
      </c>
      <c r="H260" s="10" t="n">
        <v>532364.972493229</v>
      </c>
      <c r="I260" s="10" t="n">
        <v>305037.963550798</v>
      </c>
      <c r="J260" s="10" t="n">
        <v>512265.742657525</v>
      </c>
      <c r="K260" s="11" t="n">
        <v>1.07436401537398</v>
      </c>
      <c r="L260" s="11" t="n">
        <v>0.103482889223752</v>
      </c>
      <c r="M260" s="11" t="n">
        <v>0.0608667142313663</v>
      </c>
      <c r="N260" s="11" t="n">
        <v>0.0555150407533727</v>
      </c>
      <c r="O260" s="12" t="n">
        <v>0.856853328749399</v>
      </c>
      <c r="P260" s="12" t="n">
        <v>0.913748727464555</v>
      </c>
      <c r="Q260" s="4" t="n">
        <f aca="false">RANK(N260,$N$7:$N$307,0)</f>
        <v>254</v>
      </c>
      <c r="R260" s="4" t="n">
        <f aca="false">RANK(O260,$O$7:$O$307,1)</f>
        <v>282</v>
      </c>
      <c r="S260" s="4" t="n">
        <f aca="false">RANK(J260,$J$7:$J$307,0)</f>
        <v>242</v>
      </c>
      <c r="T260" s="4" t="str">
        <f aca="false">IF(O260&lt;0.05,"YES","no")</f>
        <v>no</v>
      </c>
      <c r="U260" s="4" t="str">
        <f aca="false">IF(P260&lt;0.05,"YES","no")</f>
        <v>no</v>
      </c>
      <c r="V260" s="4" t="str">
        <f aca="false">IF(N260&gt;1,"YES","no")</f>
        <v>no</v>
      </c>
    </row>
    <row r="261" customFormat="false" ht="15" hidden="false" customHeight="false" outlineLevel="0" collapsed="false">
      <c r="A261" s="4" t="s">
        <v>307</v>
      </c>
      <c r="B261" s="4"/>
      <c r="C261" s="4" t="s">
        <v>72</v>
      </c>
      <c r="D261" s="8" t="n">
        <v>121.05075</v>
      </c>
      <c r="E261" s="9" t="n">
        <v>7.788</v>
      </c>
      <c r="F261" s="10" t="n">
        <v>45880.0990736574</v>
      </c>
      <c r="G261" s="10" t="n">
        <v>26436.9152071959</v>
      </c>
      <c r="H261" s="10" t="n">
        <v>95377.2561107733</v>
      </c>
      <c r="I261" s="10" t="n">
        <v>52634.9918024922</v>
      </c>
      <c r="J261" s="10" t="n">
        <v>68378.806817801</v>
      </c>
      <c r="K261" s="11" t="n">
        <v>2.07883718728793</v>
      </c>
      <c r="L261" s="11" t="n">
        <v>1.0557767720057</v>
      </c>
      <c r="M261" s="11" t="n">
        <v>0.560638326637184</v>
      </c>
      <c r="N261" s="11" t="n">
        <v>0.0548967850822441</v>
      </c>
      <c r="O261" s="12" t="n">
        <v>0.107428072668591</v>
      </c>
      <c r="P261" s="12" t="n">
        <v>0.505247654269468</v>
      </c>
      <c r="Q261" s="4" t="n">
        <f aca="false">RANK(N261,$N$7:$N$307,0)</f>
        <v>255</v>
      </c>
      <c r="R261" s="4" t="n">
        <f aca="false">RANK(O261,$O$7:$O$307,1)</f>
        <v>64</v>
      </c>
      <c r="S261" s="4" t="n">
        <f aca="false">RANK(J261,$J$7:$J$307,0)</f>
        <v>293</v>
      </c>
      <c r="T261" s="4" t="str">
        <f aca="false">IF(O261&lt;0.05,"YES","no")</f>
        <v>no</v>
      </c>
      <c r="U261" s="4" t="str">
        <f aca="false">IF(P261&lt;0.05,"YES","no")</f>
        <v>no</v>
      </c>
      <c r="V261" s="4" t="str">
        <f aca="false">IF(N261&gt;1,"YES","no")</f>
        <v>no</v>
      </c>
    </row>
    <row r="262" customFormat="false" ht="15" hidden="false" customHeight="false" outlineLevel="0" collapsed="false">
      <c r="A262" s="4" t="s">
        <v>301</v>
      </c>
      <c r="B262" s="4"/>
      <c r="C262" s="4" t="s">
        <v>72</v>
      </c>
      <c r="D262" s="8" t="n">
        <v>209.03024</v>
      </c>
      <c r="E262" s="9" t="n">
        <v>9.886</v>
      </c>
      <c r="F262" s="10" t="n">
        <v>473790.641959673</v>
      </c>
      <c r="G262" s="10" t="n">
        <v>237945.601309884</v>
      </c>
      <c r="H262" s="10" t="n">
        <v>589044.330071935</v>
      </c>
      <c r="I262" s="10" t="n">
        <v>305227.86528586</v>
      </c>
      <c r="J262" s="10" t="n">
        <v>526178.682010701</v>
      </c>
      <c r="K262" s="11" t="n">
        <v>1.24325868412165</v>
      </c>
      <c r="L262" s="11" t="n">
        <v>0.314126508354011</v>
      </c>
      <c r="M262" s="11" t="n">
        <v>0.22880955407215</v>
      </c>
      <c r="N262" s="11" t="n">
        <v>0.0548294520539093</v>
      </c>
      <c r="O262" s="12" t="n">
        <v>0.512124723785468</v>
      </c>
      <c r="P262" s="12" t="n">
        <v>0.714184568977808</v>
      </c>
      <c r="Q262" s="4" t="n">
        <f aca="false">RANK(N262,$N$7:$N$307,0)</f>
        <v>256</v>
      </c>
      <c r="R262" s="4" t="n">
        <f aca="false">RANK(O262,$O$7:$O$307,1)</f>
        <v>215</v>
      </c>
      <c r="S262" s="4" t="n">
        <f aca="false">RANK(J262,$J$7:$J$307,0)</f>
        <v>241</v>
      </c>
      <c r="T262" s="4" t="str">
        <f aca="false">IF(O262&lt;0.05,"YES","no")</f>
        <v>no</v>
      </c>
      <c r="U262" s="4" t="str">
        <f aca="false">IF(P262&lt;0.05,"YES","no")</f>
        <v>no</v>
      </c>
      <c r="V262" s="4" t="str">
        <f aca="false">IF(N262&gt;1,"YES","no")</f>
        <v>no</v>
      </c>
    </row>
    <row r="263" customFormat="false" ht="15" hidden="false" customHeight="false" outlineLevel="0" collapsed="false">
      <c r="A263" s="4" t="s">
        <v>351</v>
      </c>
      <c r="B263" s="4" t="s">
        <v>352</v>
      </c>
      <c r="C263" s="4" t="s">
        <v>61</v>
      </c>
      <c r="D263" s="8" t="n">
        <v>194.08105</v>
      </c>
      <c r="E263" s="9" t="n">
        <v>5.027</v>
      </c>
      <c r="F263" s="10" t="n">
        <v>380593.492875569</v>
      </c>
      <c r="G263" s="10" t="n">
        <v>168942.543921595</v>
      </c>
      <c r="H263" s="10" t="n">
        <v>308004.828015006</v>
      </c>
      <c r="I263" s="10" t="n">
        <v>47360.2514765226</v>
      </c>
      <c r="J263" s="10" t="n">
        <v>347598.645211677</v>
      </c>
      <c r="K263" s="11" t="n">
        <v>0.809275076375794</v>
      </c>
      <c r="L263" s="11" t="n">
        <v>-0.305297930093948</v>
      </c>
      <c r="M263" s="11" t="n">
        <v>0.294180167088247</v>
      </c>
      <c r="N263" s="11" t="n">
        <v>0.0531265198146516</v>
      </c>
      <c r="O263" s="12" t="n">
        <v>0.353698498741754</v>
      </c>
      <c r="P263" s="12" t="n">
        <v>0.623654674242459</v>
      </c>
      <c r="Q263" s="4" t="n">
        <f aca="false">RANK(N263,$N$7:$N$307,0)</f>
        <v>257</v>
      </c>
      <c r="R263" s="4" t="n">
        <f aca="false">RANK(O263,$O$7:$O$307,1)</f>
        <v>169</v>
      </c>
      <c r="S263" s="4" t="n">
        <f aca="false">RANK(J263,$J$7:$J$307,0)</f>
        <v>260</v>
      </c>
      <c r="T263" s="4" t="str">
        <f aca="false">IF(O263&lt;0.05,"YES","no")</f>
        <v>no</v>
      </c>
      <c r="U263" s="4" t="str">
        <f aca="false">IF(P263&lt;0.05,"YES","no")</f>
        <v>no</v>
      </c>
      <c r="V263" s="4" t="str">
        <f aca="false">IF(N263&gt;1,"YES","no")</f>
        <v>no</v>
      </c>
    </row>
    <row r="264" customFormat="false" ht="15" hidden="false" customHeight="false" outlineLevel="0" collapsed="false">
      <c r="A264" s="4" t="s">
        <v>255</v>
      </c>
      <c r="B264" s="4"/>
      <c r="C264" s="4" t="s">
        <v>61</v>
      </c>
      <c r="D264" s="8" t="n">
        <v>155.00989</v>
      </c>
      <c r="E264" s="9" t="n">
        <v>6.873</v>
      </c>
      <c r="F264" s="10" t="n">
        <v>479277.891599877</v>
      </c>
      <c r="G264" s="10" t="n">
        <v>282081.948630486</v>
      </c>
      <c r="H264" s="10" t="n">
        <v>400029.0647243</v>
      </c>
      <c r="I264" s="10" t="n">
        <v>253055.613908668</v>
      </c>
      <c r="J264" s="10" t="n">
        <v>443255.697565524</v>
      </c>
      <c r="K264" s="11" t="n">
        <v>0.834649525328537</v>
      </c>
      <c r="L264" s="11" t="n">
        <v>-0.260757567017858</v>
      </c>
      <c r="M264" s="11" t="n">
        <v>0.159754995231421</v>
      </c>
      <c r="N264" s="11" t="n">
        <v>0.0521430429817054</v>
      </c>
      <c r="O264" s="12" t="n">
        <v>0.63539550403897</v>
      </c>
      <c r="P264" s="12" t="n">
        <v>0.800896463225423</v>
      </c>
      <c r="Q264" s="4" t="n">
        <f aca="false">RANK(N264,$N$7:$N$307,0)</f>
        <v>258</v>
      </c>
      <c r="R264" s="4" t="n">
        <f aca="false">RANK(O264,$O$7:$O$307,1)</f>
        <v>238</v>
      </c>
      <c r="S264" s="4" t="n">
        <f aca="false">RANK(J264,$J$7:$J$307,0)</f>
        <v>250</v>
      </c>
      <c r="T264" s="4" t="str">
        <f aca="false">IF(O264&lt;0.05,"YES","no")</f>
        <v>no</v>
      </c>
      <c r="U264" s="4" t="str">
        <f aca="false">IF(P264&lt;0.05,"YES","no")</f>
        <v>no</v>
      </c>
      <c r="V264" s="4" t="str">
        <f aca="false">IF(N264&gt;1,"YES","no")</f>
        <v>no</v>
      </c>
    </row>
    <row r="265" customFormat="false" ht="15" hidden="false" customHeight="false" outlineLevel="0" collapsed="false">
      <c r="A265" s="4" t="s">
        <v>348</v>
      </c>
      <c r="B265" s="4"/>
      <c r="C265" s="4" t="s">
        <v>61</v>
      </c>
      <c r="D265" s="8" t="n">
        <v>742.06864</v>
      </c>
      <c r="E265" s="9" t="n">
        <v>10.04</v>
      </c>
      <c r="F265" s="10" t="n">
        <v>3288434.07766098</v>
      </c>
      <c r="G265" s="10" t="n">
        <v>1632269.18621659</v>
      </c>
      <c r="H265" s="10" t="n">
        <v>3308048.5596594</v>
      </c>
      <c r="I265" s="10" t="n">
        <v>720692.106169706</v>
      </c>
      <c r="J265" s="10" t="n">
        <v>3297349.75129663</v>
      </c>
      <c r="K265" s="11" t="n">
        <v>1.00596468760973</v>
      </c>
      <c r="L265" s="11" t="n">
        <v>0.00857966309127023</v>
      </c>
      <c r="M265" s="11" t="n">
        <v>0.00825426933755531</v>
      </c>
      <c r="N265" s="11" t="n">
        <v>0.0518322988884113</v>
      </c>
      <c r="O265" s="12" t="n">
        <v>0.979586938876782</v>
      </c>
      <c r="P265" s="12" t="n">
        <v>0.989448552355407</v>
      </c>
      <c r="Q265" s="4" t="n">
        <f aca="false">RANK(N265,$N$7:$N$307,0)</f>
        <v>259</v>
      </c>
      <c r="R265" s="4" t="n">
        <f aca="false">RANK(O265,$O$7:$O$307,1)</f>
        <v>298</v>
      </c>
      <c r="S265" s="4" t="n">
        <f aca="false">RANK(J265,$J$7:$J$307,0)</f>
        <v>150</v>
      </c>
      <c r="T265" s="4" t="str">
        <f aca="false">IF(O265&lt;0.05,"YES","no")</f>
        <v>no</v>
      </c>
      <c r="U265" s="4" t="str">
        <f aca="false">IF(P265&lt;0.05,"YES","no")</f>
        <v>no</v>
      </c>
      <c r="V265" s="4" t="str">
        <f aca="false">IF(N265&gt;1,"YES","no")</f>
        <v>no</v>
      </c>
    </row>
    <row r="266" customFormat="false" ht="15" hidden="false" customHeight="false" outlineLevel="0" collapsed="false">
      <c r="A266" s="4" t="s">
        <v>203</v>
      </c>
      <c r="B266" s="4"/>
      <c r="C266" s="4" t="s">
        <v>61</v>
      </c>
      <c r="D266" s="8" t="n">
        <v>132.06544</v>
      </c>
      <c r="E266" s="9" t="n">
        <v>11.124</v>
      </c>
      <c r="F266" s="10" t="n">
        <v>8348288.74968306</v>
      </c>
      <c r="G266" s="10" t="n">
        <v>3513745.78993212</v>
      </c>
      <c r="H266" s="10" t="n">
        <v>8002182.69954774</v>
      </c>
      <c r="I266" s="10" t="n">
        <v>2405517.01510277</v>
      </c>
      <c r="J266" s="10" t="n">
        <v>8190967.81780337</v>
      </c>
      <c r="K266" s="11" t="n">
        <v>0.958541677161267</v>
      </c>
      <c r="L266" s="11" t="n">
        <v>-0.0610869335972792</v>
      </c>
      <c r="M266" s="11" t="n">
        <v>0.0619214988255901</v>
      </c>
      <c r="N266" s="11" t="n">
        <v>0.0513124588575842</v>
      </c>
      <c r="O266" s="12" t="n">
        <v>0.851345746902263</v>
      </c>
      <c r="P266" s="12" t="n">
        <v>0.911939750240502</v>
      </c>
      <c r="Q266" s="4" t="n">
        <f aca="false">RANK(N266,$N$7:$N$307,0)</f>
        <v>260</v>
      </c>
      <c r="R266" s="4" t="n">
        <f aca="false">RANK(O266,$O$7:$O$307,1)</f>
        <v>281</v>
      </c>
      <c r="S266" s="4" t="n">
        <f aca="false">RANK(J266,$J$7:$J$307,0)</f>
        <v>107</v>
      </c>
      <c r="T266" s="4" t="str">
        <f aca="false">IF(O266&lt;0.05,"YES","no")</f>
        <v>no</v>
      </c>
      <c r="U266" s="4" t="str">
        <f aca="false">IF(P266&lt;0.05,"YES","no")</f>
        <v>no</v>
      </c>
      <c r="V266" s="4" t="str">
        <f aca="false">IF(N266&gt;1,"YES","no")</f>
        <v>no</v>
      </c>
    </row>
    <row r="267" customFormat="false" ht="15" hidden="false" customHeight="false" outlineLevel="0" collapsed="false">
      <c r="A267" s="4" t="s">
        <v>343</v>
      </c>
      <c r="B267" s="4"/>
      <c r="C267" s="4" t="s">
        <v>61</v>
      </c>
      <c r="D267" s="8" t="n">
        <v>158.08232</v>
      </c>
      <c r="E267" s="9" t="n">
        <v>5.021</v>
      </c>
      <c r="F267" s="10" t="n">
        <v>458601.80460071</v>
      </c>
      <c r="G267" s="10" t="n">
        <v>274862.870475606</v>
      </c>
      <c r="H267" s="10" t="n">
        <v>538143.748781751</v>
      </c>
      <c r="I267" s="10" t="n">
        <v>131864.637960696</v>
      </c>
      <c r="J267" s="10" t="n">
        <v>494757.23377391</v>
      </c>
      <c r="K267" s="11" t="n">
        <v>1.17344446398395</v>
      </c>
      <c r="L267" s="11" t="n">
        <v>0.230749564544602</v>
      </c>
      <c r="M267" s="11" t="n">
        <v>0.192726432653155</v>
      </c>
      <c r="N267" s="11" t="n">
        <v>0.0473803002844217</v>
      </c>
      <c r="O267" s="12" t="n">
        <v>0.549127004724124</v>
      </c>
      <c r="P267" s="12" t="n">
        <v>0.737889412598042</v>
      </c>
      <c r="Q267" s="4" t="n">
        <f aca="false">RANK(N267,$N$7:$N$307,0)</f>
        <v>261</v>
      </c>
      <c r="R267" s="4" t="n">
        <f aca="false">RANK(O267,$O$7:$O$307,1)</f>
        <v>224</v>
      </c>
      <c r="S267" s="4" t="n">
        <f aca="false">RANK(J267,$J$7:$J$307,0)</f>
        <v>244</v>
      </c>
      <c r="T267" s="4" t="str">
        <f aca="false">IF(O267&lt;0.05,"YES","no")</f>
        <v>no</v>
      </c>
      <c r="U267" s="4" t="str">
        <f aca="false">IF(P267&lt;0.05,"YES","no")</f>
        <v>no</v>
      </c>
      <c r="V267" s="4" t="str">
        <f aca="false">IF(N267&gt;1,"YES","no")</f>
        <v>no</v>
      </c>
    </row>
    <row r="268" customFormat="false" ht="15" hidden="false" customHeight="false" outlineLevel="0" collapsed="false">
      <c r="A268" s="4" t="s">
        <v>286</v>
      </c>
      <c r="B268" s="4"/>
      <c r="C268" s="4" t="s">
        <v>72</v>
      </c>
      <c r="D268" s="8" t="n">
        <v>128.03519</v>
      </c>
      <c r="E268" s="9" t="n">
        <v>8.222</v>
      </c>
      <c r="F268" s="10" t="n">
        <v>987468.220248784</v>
      </c>
      <c r="G268" s="10" t="n">
        <v>169483.025884896</v>
      </c>
      <c r="H268" s="10" t="n">
        <v>1071577.8395487</v>
      </c>
      <c r="I268" s="10" t="n">
        <v>196156.167781207</v>
      </c>
      <c r="J268" s="10" t="n">
        <v>1025699.86538511</v>
      </c>
      <c r="K268" s="11" t="n">
        <v>1.08517703919497</v>
      </c>
      <c r="L268" s="11" t="n">
        <v>0.117930427677132</v>
      </c>
      <c r="M268" s="11" t="n">
        <v>0.246774337543173</v>
      </c>
      <c r="N268" s="11" t="n">
        <v>0.0472531449691518</v>
      </c>
      <c r="O268" s="12" t="n">
        <v>0.473033478752867</v>
      </c>
      <c r="P268" s="12" t="n">
        <v>0.69795626031673</v>
      </c>
      <c r="Q268" s="4" t="n">
        <f aca="false">RANK(N268,$N$7:$N$307,0)</f>
        <v>262</v>
      </c>
      <c r="R268" s="4" t="n">
        <f aca="false">RANK(O268,$O$7:$O$307,1)</f>
        <v>204</v>
      </c>
      <c r="S268" s="4" t="n">
        <f aca="false">RANK(J268,$J$7:$J$307,0)</f>
        <v>215</v>
      </c>
      <c r="T268" s="4" t="str">
        <f aca="false">IF(O268&lt;0.05,"YES","no")</f>
        <v>no</v>
      </c>
      <c r="U268" s="4" t="str">
        <f aca="false">IF(P268&lt;0.05,"YES","no")</f>
        <v>no</v>
      </c>
      <c r="V268" s="4" t="str">
        <f aca="false">IF(N268&gt;1,"YES","no")</f>
        <v>no</v>
      </c>
    </row>
    <row r="269" customFormat="false" ht="15" hidden="false" customHeight="false" outlineLevel="0" collapsed="false">
      <c r="A269" s="4" t="s">
        <v>393</v>
      </c>
      <c r="B269" s="4"/>
      <c r="C269" s="4" t="s">
        <v>72</v>
      </c>
      <c r="D269" s="8" t="n">
        <v>341.10859</v>
      </c>
      <c r="E269" s="9" t="n">
        <v>12.088</v>
      </c>
      <c r="F269" s="10" t="n">
        <v>247130.442367213</v>
      </c>
      <c r="G269" s="10" t="n">
        <v>47104.7359466354</v>
      </c>
      <c r="H269" s="10" t="n">
        <v>264992.897670975</v>
      </c>
      <c r="I269" s="10" t="n">
        <v>87030.995546083</v>
      </c>
      <c r="J269" s="10" t="n">
        <v>255249.740232559</v>
      </c>
      <c r="K269" s="11" t="n">
        <v>1.07227946153724</v>
      </c>
      <c r="L269" s="11" t="n">
        <v>0.100680955450973</v>
      </c>
      <c r="M269" s="11" t="n">
        <v>0.143492831696565</v>
      </c>
      <c r="N269" s="11" t="n">
        <v>0.0438397437834941</v>
      </c>
      <c r="O269" s="12" t="n">
        <v>0.695244721649861</v>
      </c>
      <c r="P269" s="12" t="n">
        <v>0.847241543387077</v>
      </c>
      <c r="Q269" s="4" t="n">
        <f aca="false">RANK(N269,$N$7:$N$307,0)</f>
        <v>263</v>
      </c>
      <c r="R269" s="4" t="n">
        <f aca="false">RANK(O269,$O$7:$O$307,1)</f>
        <v>247</v>
      </c>
      <c r="S269" s="4" t="n">
        <f aca="false">RANK(J269,$J$7:$J$307,0)</f>
        <v>267</v>
      </c>
      <c r="T269" s="4" t="str">
        <f aca="false">IF(O269&lt;0.05,"YES","no")</f>
        <v>no</v>
      </c>
      <c r="U269" s="4" t="str">
        <f aca="false">IF(P269&lt;0.05,"YES","no")</f>
        <v>no</v>
      </c>
      <c r="V269" s="4" t="str">
        <f aca="false">IF(N269&gt;1,"YES","no")</f>
        <v>no</v>
      </c>
    </row>
    <row r="270" customFormat="false" ht="15" hidden="false" customHeight="false" outlineLevel="0" collapsed="false">
      <c r="A270" s="4" t="s">
        <v>380</v>
      </c>
      <c r="B270" s="4"/>
      <c r="C270" s="4" t="s">
        <v>72</v>
      </c>
      <c r="D270" s="8" t="n">
        <v>744.08613</v>
      </c>
      <c r="E270" s="9" t="n">
        <v>9.886</v>
      </c>
      <c r="F270" s="10" t="n">
        <v>267374.404279899</v>
      </c>
      <c r="G270" s="10" t="n">
        <v>85787.1525555654</v>
      </c>
      <c r="H270" s="10" t="n">
        <v>221799.968890992</v>
      </c>
      <c r="I270" s="10" t="n">
        <v>88898.8754458599</v>
      </c>
      <c r="J270" s="10" t="n">
        <v>246658.751830396</v>
      </c>
      <c r="K270" s="11" t="n">
        <v>0.829548248974504</v>
      </c>
      <c r="L270" s="11" t="n">
        <v>-0.269602199864287</v>
      </c>
      <c r="M270" s="11" t="n">
        <v>0.276536934108736</v>
      </c>
      <c r="N270" s="11" t="n">
        <v>0.0423434163312641</v>
      </c>
      <c r="O270" s="12" t="n">
        <v>0.413255638922531</v>
      </c>
      <c r="P270" s="12" t="n">
        <v>0.661648655934478</v>
      </c>
      <c r="Q270" s="4" t="n">
        <f aca="false">RANK(N270,$N$7:$N$307,0)</f>
        <v>264</v>
      </c>
      <c r="R270" s="4" t="n">
        <f aca="false">RANK(O270,$O$7:$O$307,1)</f>
        <v>188</v>
      </c>
      <c r="S270" s="4" t="n">
        <f aca="false">RANK(J270,$J$7:$J$307,0)</f>
        <v>269</v>
      </c>
      <c r="T270" s="4" t="str">
        <f aca="false">IF(O270&lt;0.05,"YES","no")</f>
        <v>no</v>
      </c>
      <c r="U270" s="4" t="str">
        <f aca="false">IF(P270&lt;0.05,"YES","no")</f>
        <v>no</v>
      </c>
      <c r="V270" s="4" t="str">
        <f aca="false">IF(N270&gt;1,"YES","no")</f>
        <v>no</v>
      </c>
    </row>
    <row r="271" customFormat="false" ht="15" hidden="false" customHeight="false" outlineLevel="0" collapsed="false">
      <c r="A271" s="4" t="s">
        <v>382</v>
      </c>
      <c r="B271" s="4"/>
      <c r="C271" s="4" t="s">
        <v>72</v>
      </c>
      <c r="D271" s="8" t="n">
        <v>416.21393</v>
      </c>
      <c r="E271" s="9" t="n">
        <v>5.02</v>
      </c>
      <c r="F271" s="10" t="n">
        <v>259557.159246047</v>
      </c>
      <c r="G271" s="10" t="n">
        <v>59592.6440699973</v>
      </c>
      <c r="H271" s="10" t="n">
        <v>309196.336910262</v>
      </c>
      <c r="I271" s="10" t="n">
        <v>92751.4035356054</v>
      </c>
      <c r="J271" s="10" t="n">
        <v>282120.42182069</v>
      </c>
      <c r="K271" s="11" t="n">
        <v>1.19124565012348</v>
      </c>
      <c r="L271" s="11" t="n">
        <v>0.252470946091785</v>
      </c>
      <c r="M271" s="11" t="n">
        <v>0.337812765288325</v>
      </c>
      <c r="N271" s="11" t="n">
        <v>0.0421561143759621</v>
      </c>
      <c r="O271" s="12" t="n">
        <v>0.338282684825685</v>
      </c>
      <c r="P271" s="12" t="n">
        <v>0.618867706104994</v>
      </c>
      <c r="Q271" s="4" t="n">
        <f aca="false">RANK(N271,$N$7:$N$307,0)</f>
        <v>265</v>
      </c>
      <c r="R271" s="4" t="n">
        <f aca="false">RANK(O271,$O$7:$O$307,1)</f>
        <v>164</v>
      </c>
      <c r="S271" s="4" t="n">
        <f aca="false">RANK(J271,$J$7:$J$307,0)</f>
        <v>266</v>
      </c>
      <c r="T271" s="4" t="str">
        <f aca="false">IF(O271&lt;0.05,"YES","no")</f>
        <v>no</v>
      </c>
      <c r="U271" s="4" t="str">
        <f aca="false">IF(P271&lt;0.05,"YES","no")</f>
        <v>no</v>
      </c>
      <c r="V271" s="4" t="str">
        <f aca="false">IF(N271&gt;1,"YES","no")</f>
        <v>no</v>
      </c>
    </row>
    <row r="272" customFormat="false" ht="15" hidden="false" customHeight="false" outlineLevel="0" collapsed="false">
      <c r="A272" s="4" t="s">
        <v>312</v>
      </c>
      <c r="B272" s="4"/>
      <c r="C272" s="4" t="s">
        <v>61</v>
      </c>
      <c r="D272" s="8" t="n">
        <v>173.05678</v>
      </c>
      <c r="E272" s="9" t="n">
        <v>8.268</v>
      </c>
      <c r="F272" s="10" t="n">
        <v>115332.527533752</v>
      </c>
      <c r="G272" s="10" t="n">
        <v>90773.7504064138</v>
      </c>
      <c r="H272" s="10" t="n">
        <v>139899.331775564</v>
      </c>
      <c r="I272" s="10" t="n">
        <v>102795.711987721</v>
      </c>
      <c r="J272" s="10" t="n">
        <v>126499.256734576</v>
      </c>
      <c r="K272" s="11" t="n">
        <v>1.21300846142146</v>
      </c>
      <c r="L272" s="11" t="n">
        <v>0.278589614109041</v>
      </c>
      <c r="M272" s="11" t="n">
        <v>0.139063937610688</v>
      </c>
      <c r="N272" s="11" t="n">
        <v>0.0415155456362288</v>
      </c>
      <c r="O272" s="12" t="n">
        <v>0.688131483187602</v>
      </c>
      <c r="P272" s="12" t="n">
        <v>0.845418679344768</v>
      </c>
      <c r="Q272" s="4" t="n">
        <f aca="false">RANK(N272,$N$7:$N$307,0)</f>
        <v>266</v>
      </c>
      <c r="R272" s="4" t="n">
        <f aca="false">RANK(O272,$O$7:$O$307,1)</f>
        <v>245</v>
      </c>
      <c r="S272" s="4" t="n">
        <f aca="false">RANK(J272,$J$7:$J$307,0)</f>
        <v>286</v>
      </c>
      <c r="T272" s="4" t="str">
        <f aca="false">IF(O272&lt;0.05,"YES","no")</f>
        <v>no</v>
      </c>
      <c r="U272" s="4" t="str">
        <f aca="false">IF(P272&lt;0.05,"YES","no")</f>
        <v>no</v>
      </c>
      <c r="V272" s="4" t="str">
        <f aca="false">IF(N272&gt;1,"YES","no")</f>
        <v>no</v>
      </c>
    </row>
    <row r="273" customFormat="false" ht="15" hidden="false" customHeight="false" outlineLevel="0" collapsed="false">
      <c r="A273" s="4" t="s">
        <v>289</v>
      </c>
      <c r="B273" s="4"/>
      <c r="C273" s="4" t="s">
        <v>61</v>
      </c>
      <c r="D273" s="8" t="n">
        <v>184.06037</v>
      </c>
      <c r="E273" s="9" t="n">
        <v>4.688</v>
      </c>
      <c r="F273" s="10" t="n">
        <v>313058.409571757</v>
      </c>
      <c r="G273" s="10" t="n">
        <v>483149.220676363</v>
      </c>
      <c r="H273" s="10" t="n">
        <v>251425.642396097</v>
      </c>
      <c r="I273" s="10" t="n">
        <v>98429.2953378649</v>
      </c>
      <c r="J273" s="10" t="n">
        <v>285043.515401003</v>
      </c>
      <c r="K273" s="11" t="n">
        <v>0.8031269396022</v>
      </c>
      <c r="L273" s="11" t="n">
        <v>-0.316300061489785</v>
      </c>
      <c r="M273" s="11" t="n">
        <v>0.0922910004725612</v>
      </c>
      <c r="N273" s="11" t="n">
        <v>0.0412592635623267</v>
      </c>
      <c r="O273" s="12" t="n">
        <v>0.77161225917285</v>
      </c>
      <c r="P273" s="12" t="n">
        <v>0.881631588492005</v>
      </c>
      <c r="Q273" s="4" t="n">
        <f aca="false">RANK(N273,$N$7:$N$307,0)</f>
        <v>267</v>
      </c>
      <c r="R273" s="4" t="n">
        <f aca="false">RANK(O273,$O$7:$O$307,1)</f>
        <v>263</v>
      </c>
      <c r="S273" s="4" t="n">
        <f aca="false">RANK(J273,$J$7:$J$307,0)</f>
        <v>265</v>
      </c>
      <c r="T273" s="4" t="str">
        <f aca="false">IF(O273&lt;0.05,"YES","no")</f>
        <v>no</v>
      </c>
      <c r="U273" s="4" t="str">
        <f aca="false">IF(P273&lt;0.05,"YES","no")</f>
        <v>no</v>
      </c>
      <c r="V273" s="4" t="str">
        <f aca="false">IF(N273&gt;1,"YES","no")</f>
        <v>no</v>
      </c>
    </row>
    <row r="274" customFormat="false" ht="15" hidden="false" customHeight="false" outlineLevel="0" collapsed="false">
      <c r="A274" s="4" t="s">
        <v>381</v>
      </c>
      <c r="B274" s="4"/>
      <c r="C274" s="4" t="s">
        <v>72</v>
      </c>
      <c r="D274" s="8" t="n">
        <v>149.02778</v>
      </c>
      <c r="E274" s="9" t="n">
        <v>5.021</v>
      </c>
      <c r="F274" s="10" t="n">
        <v>75512.0926778214</v>
      </c>
      <c r="G274" s="10" t="n">
        <v>39058.6545950816</v>
      </c>
      <c r="H274" s="10" t="n">
        <v>108636.745105085</v>
      </c>
      <c r="I274" s="10" t="n">
        <v>56216.864153929</v>
      </c>
      <c r="J274" s="10" t="n">
        <v>90568.752872032</v>
      </c>
      <c r="K274" s="11" t="n">
        <v>1.43866685788451</v>
      </c>
      <c r="L274" s="11" t="n">
        <v>0.524732555858025</v>
      </c>
      <c r="M274" s="11" t="n">
        <v>0.358669745143975</v>
      </c>
      <c r="N274" s="11" t="n">
        <v>0.0395487203595896</v>
      </c>
      <c r="O274" s="12" t="n">
        <v>0.302791432739148</v>
      </c>
      <c r="P274" s="12" t="n">
        <v>0.611679337278413</v>
      </c>
      <c r="Q274" s="4" t="n">
        <f aca="false">RANK(N274,$N$7:$N$307,0)</f>
        <v>268</v>
      </c>
      <c r="R274" s="4" t="n">
        <f aca="false">RANK(O274,$O$7:$O$307,1)</f>
        <v>149</v>
      </c>
      <c r="S274" s="4" t="n">
        <f aca="false">RANK(J274,$J$7:$J$307,0)</f>
        <v>290</v>
      </c>
      <c r="T274" s="4" t="str">
        <f aca="false">IF(O274&lt;0.05,"YES","no")</f>
        <v>no</v>
      </c>
      <c r="U274" s="4" t="str">
        <f aca="false">IF(P274&lt;0.05,"YES","no")</f>
        <v>no</v>
      </c>
      <c r="V274" s="4" t="str">
        <f aca="false">IF(N274&gt;1,"YES","no")</f>
        <v>no</v>
      </c>
    </row>
    <row r="275" customFormat="false" ht="15" hidden="false" customHeight="false" outlineLevel="0" collapsed="false">
      <c r="A275" s="4" t="s">
        <v>371</v>
      </c>
      <c r="B275" s="4"/>
      <c r="C275" s="4" t="s">
        <v>72</v>
      </c>
      <c r="D275" s="8" t="n">
        <v>162.02303</v>
      </c>
      <c r="E275" s="9" t="n">
        <v>6.824</v>
      </c>
      <c r="F275" s="10" t="n">
        <v>117945.951415425</v>
      </c>
      <c r="G275" s="10" t="n">
        <v>59853.5204554425</v>
      </c>
      <c r="H275" s="10" t="n">
        <v>154295.900782984</v>
      </c>
      <c r="I275" s="10" t="n">
        <v>38569.9709508846</v>
      </c>
      <c r="J275" s="10" t="n">
        <v>134468.655673407</v>
      </c>
      <c r="K275" s="11" t="n">
        <v>1.3081915820877</v>
      </c>
      <c r="L275" s="11" t="n">
        <v>0.387573836163323</v>
      </c>
      <c r="M275" s="11" t="n">
        <v>0.362215747711656</v>
      </c>
      <c r="N275" s="11" t="n">
        <v>0.0390037243189432</v>
      </c>
      <c r="O275" s="12" t="n">
        <v>0.2566793050398</v>
      </c>
      <c r="P275" s="12" t="n">
        <v>0.585306597098332</v>
      </c>
      <c r="Q275" s="4" t="n">
        <f aca="false">RANK(N275,$N$7:$N$307,0)</f>
        <v>269</v>
      </c>
      <c r="R275" s="4" t="n">
        <f aca="false">RANK(O275,$O$7:$O$307,1)</f>
        <v>132</v>
      </c>
      <c r="S275" s="4" t="n">
        <f aca="false">RANK(J275,$J$7:$J$307,0)</f>
        <v>283</v>
      </c>
      <c r="T275" s="4" t="str">
        <f aca="false">IF(O275&lt;0.05,"YES","no")</f>
        <v>no</v>
      </c>
      <c r="U275" s="4" t="str">
        <f aca="false">IF(P275&lt;0.05,"YES","no")</f>
        <v>no</v>
      </c>
      <c r="V275" s="4" t="str">
        <f aca="false">IF(N275&gt;1,"YES","no")</f>
        <v>no</v>
      </c>
    </row>
    <row r="276" customFormat="false" ht="15" hidden="false" customHeight="false" outlineLevel="0" collapsed="false">
      <c r="A276" s="4" t="s">
        <v>283</v>
      </c>
      <c r="B276" s="4"/>
      <c r="C276" s="4" t="s">
        <v>72</v>
      </c>
      <c r="D276" s="8" t="n">
        <v>405.00966</v>
      </c>
      <c r="E276" s="9" t="n">
        <v>8.863</v>
      </c>
      <c r="F276" s="10" t="n">
        <v>617081.258640668</v>
      </c>
      <c r="G276" s="10" t="n">
        <v>133542.874114702</v>
      </c>
      <c r="H276" s="10" t="n">
        <v>626339.23496184</v>
      </c>
      <c r="I276" s="10" t="n">
        <v>120838.381848728</v>
      </c>
      <c r="J276" s="10" t="n">
        <v>621289.429695746</v>
      </c>
      <c r="K276" s="11" t="n">
        <v>1.0150028479905</v>
      </c>
      <c r="L276" s="11" t="n">
        <v>0.0214837754656306</v>
      </c>
      <c r="M276" s="11" t="n">
        <v>0.0397675261607461</v>
      </c>
      <c r="N276" s="11" t="n">
        <v>0.0377598151776046</v>
      </c>
      <c r="O276" s="12" t="n">
        <v>0.906682159532728</v>
      </c>
      <c r="P276" s="12" t="n">
        <v>0.941073551790866</v>
      </c>
      <c r="Q276" s="4" t="n">
        <f aca="false">RANK(N276,$N$7:$N$307,0)</f>
        <v>270</v>
      </c>
      <c r="R276" s="4" t="n">
        <f aca="false">RANK(O276,$O$7:$O$307,1)</f>
        <v>290</v>
      </c>
      <c r="S276" s="4" t="n">
        <f aca="false">RANK(J276,$J$7:$J$307,0)</f>
        <v>237</v>
      </c>
      <c r="T276" s="4" t="str">
        <f aca="false">IF(O276&lt;0.05,"YES","no")</f>
        <v>no</v>
      </c>
      <c r="U276" s="4" t="str">
        <f aca="false">IF(P276&lt;0.05,"YES","no")</f>
        <v>no</v>
      </c>
      <c r="V276" s="4" t="str">
        <f aca="false">IF(N276&gt;1,"YES","no")</f>
        <v>no</v>
      </c>
    </row>
    <row r="277" customFormat="false" ht="15" hidden="false" customHeight="false" outlineLevel="0" collapsed="false">
      <c r="A277" s="4" t="s">
        <v>322</v>
      </c>
      <c r="B277" s="4"/>
      <c r="C277" s="4" t="s">
        <v>72</v>
      </c>
      <c r="D277" s="8" t="n">
        <v>204.06655</v>
      </c>
      <c r="E277" s="9" t="n">
        <v>5.008</v>
      </c>
      <c r="F277" s="10" t="n">
        <v>91107.5632431515</v>
      </c>
      <c r="G277" s="10" t="n">
        <v>80130.4736812582</v>
      </c>
      <c r="H277" s="10" t="n">
        <v>118993.614953825</v>
      </c>
      <c r="I277" s="10" t="n">
        <v>87465.1078915844</v>
      </c>
      <c r="J277" s="10" t="n">
        <v>103783.041293458</v>
      </c>
      <c r="K277" s="11" t="n">
        <v>1.30607833990961</v>
      </c>
      <c r="L277" s="11" t="n">
        <v>0.385241433798188</v>
      </c>
      <c r="M277" s="11" t="n">
        <v>0.18087442941574</v>
      </c>
      <c r="N277" s="11" t="n">
        <v>0.0364520608971747</v>
      </c>
      <c r="O277" s="12" t="n">
        <v>0.598853335452188</v>
      </c>
      <c r="P277" s="12" t="n">
        <v>0.783716756396124</v>
      </c>
      <c r="Q277" s="4" t="n">
        <f aca="false">RANK(N277,$N$7:$N$307,0)</f>
        <v>271</v>
      </c>
      <c r="R277" s="4" t="n">
        <f aca="false">RANK(O277,$O$7:$O$307,1)</f>
        <v>230</v>
      </c>
      <c r="S277" s="4" t="n">
        <f aca="false">RANK(J277,$J$7:$J$307,0)</f>
        <v>289</v>
      </c>
      <c r="T277" s="4" t="str">
        <f aca="false">IF(O277&lt;0.05,"YES","no")</f>
        <v>no</v>
      </c>
      <c r="U277" s="4" t="str">
        <f aca="false">IF(P277&lt;0.05,"YES","no")</f>
        <v>no</v>
      </c>
      <c r="V277" s="4" t="str">
        <f aca="false">IF(N277&gt;1,"YES","no")</f>
        <v>no</v>
      </c>
    </row>
    <row r="278" customFormat="false" ht="15" hidden="false" customHeight="false" outlineLevel="0" collapsed="false">
      <c r="A278" s="4" t="s">
        <v>276</v>
      </c>
      <c r="B278" s="4"/>
      <c r="C278" s="4" t="s">
        <v>72</v>
      </c>
      <c r="D278" s="8" t="n">
        <v>203.05258</v>
      </c>
      <c r="E278" s="9" t="n">
        <v>10.569</v>
      </c>
      <c r="F278" s="10" t="n">
        <v>117745.60392115</v>
      </c>
      <c r="G278" s="10" t="n">
        <v>86178.7635890509</v>
      </c>
      <c r="H278" s="10" t="n">
        <v>91150.7413267926</v>
      </c>
      <c r="I278" s="10" t="n">
        <v>77510.844277293</v>
      </c>
      <c r="J278" s="10" t="n">
        <v>105657.030014624</v>
      </c>
      <c r="K278" s="11" t="n">
        <v>0.774132861791029</v>
      </c>
      <c r="L278" s="11" t="n">
        <v>-0.36934690242273</v>
      </c>
      <c r="M278" s="11" t="n">
        <v>0.174850144038046</v>
      </c>
      <c r="N278" s="11" t="n">
        <v>0.036259528651348</v>
      </c>
      <c r="O278" s="12" t="n">
        <v>0.603436412797139</v>
      </c>
      <c r="P278" s="12" t="n">
        <v>0.785703091296693</v>
      </c>
      <c r="Q278" s="4" t="n">
        <f aca="false">RANK(N278,$N$7:$N$307,0)</f>
        <v>272</v>
      </c>
      <c r="R278" s="4" t="n">
        <f aca="false">RANK(O278,$O$7:$O$307,1)</f>
        <v>231</v>
      </c>
      <c r="S278" s="4" t="n">
        <f aca="false">RANK(J278,$J$7:$J$307,0)</f>
        <v>288</v>
      </c>
      <c r="T278" s="4" t="str">
        <f aca="false">IF(O278&lt;0.05,"YES","no")</f>
        <v>no</v>
      </c>
      <c r="U278" s="4" t="str">
        <f aca="false">IF(P278&lt;0.05,"YES","no")</f>
        <v>no</v>
      </c>
      <c r="V278" s="4" t="str">
        <f aca="false">IF(N278&gt;1,"YES","no")</f>
        <v>no</v>
      </c>
    </row>
    <row r="279" customFormat="false" ht="15" hidden="false" customHeight="false" outlineLevel="0" collapsed="false">
      <c r="A279" s="4" t="s">
        <v>379</v>
      </c>
      <c r="B279" s="4"/>
      <c r="C279" s="4" t="s">
        <v>72</v>
      </c>
      <c r="D279" s="8" t="n">
        <v>167.99732</v>
      </c>
      <c r="E279" s="9" t="n">
        <v>9.683</v>
      </c>
      <c r="F279" s="10" t="n">
        <v>197227.484765757</v>
      </c>
      <c r="G279" s="10" t="n">
        <v>78110.097750802</v>
      </c>
      <c r="H279" s="10" t="n">
        <v>160108.047033966</v>
      </c>
      <c r="I279" s="10" t="n">
        <v>34958.7041977959</v>
      </c>
      <c r="J279" s="10" t="n">
        <v>180355.013069488</v>
      </c>
      <c r="K279" s="11" t="n">
        <v>0.811793788396797</v>
      </c>
      <c r="L279" s="11" t="n">
        <v>-0.300814793880363</v>
      </c>
      <c r="M279" s="11" t="n">
        <v>0.309804560051448</v>
      </c>
      <c r="N279" s="11" t="n">
        <v>0.0358903867497752</v>
      </c>
      <c r="O279" s="12" t="n">
        <v>0.329867667401968</v>
      </c>
      <c r="P279" s="12" t="n">
        <v>0.617704034920547</v>
      </c>
      <c r="Q279" s="4" t="n">
        <f aca="false">RANK(N279,$N$7:$N$307,0)</f>
        <v>273</v>
      </c>
      <c r="R279" s="4" t="n">
        <f aca="false">RANK(O279,$O$7:$O$307,1)</f>
        <v>160</v>
      </c>
      <c r="S279" s="4" t="n">
        <f aca="false">RANK(J279,$J$7:$J$307,0)</f>
        <v>278</v>
      </c>
      <c r="T279" s="4" t="str">
        <f aca="false">IF(O279&lt;0.05,"YES","no")</f>
        <v>no</v>
      </c>
      <c r="U279" s="4" t="str">
        <f aca="false">IF(P279&lt;0.05,"YES","no")</f>
        <v>no</v>
      </c>
      <c r="V279" s="4" t="str">
        <f aca="false">IF(N279&gt;1,"YES","no")</f>
        <v>no</v>
      </c>
    </row>
    <row r="280" customFormat="false" ht="15" hidden="false" customHeight="false" outlineLevel="0" collapsed="false">
      <c r="A280" s="4" t="s">
        <v>335</v>
      </c>
      <c r="B280" s="4"/>
      <c r="C280" s="4" t="s">
        <v>72</v>
      </c>
      <c r="D280" s="8" t="n">
        <v>240.1092</v>
      </c>
      <c r="E280" s="9" t="n">
        <v>9.82</v>
      </c>
      <c r="F280" s="10" t="n">
        <v>166340.286285114</v>
      </c>
      <c r="G280" s="10" t="n">
        <v>37199.1432856072</v>
      </c>
      <c r="H280" s="10" t="n">
        <v>195790.793809875</v>
      </c>
      <c r="I280" s="10" t="n">
        <v>52542.0080388806</v>
      </c>
      <c r="J280" s="10" t="n">
        <v>179726.880614551</v>
      </c>
      <c r="K280" s="11" t="n">
        <v>1.17704975855508</v>
      </c>
      <c r="L280" s="11" t="n">
        <v>0.235175310098769</v>
      </c>
      <c r="M280" s="11" t="n">
        <v>0.341130537482521</v>
      </c>
      <c r="N280" s="11" t="n">
        <v>0.0350817246153782</v>
      </c>
      <c r="O280" s="12" t="n">
        <v>0.327220745783137</v>
      </c>
      <c r="P280" s="12" t="n">
        <v>0.617704034920547</v>
      </c>
      <c r="Q280" s="4" t="n">
        <f aca="false">RANK(N280,$N$7:$N$307,0)</f>
        <v>274</v>
      </c>
      <c r="R280" s="4" t="n">
        <f aca="false">RANK(O280,$O$7:$O$307,1)</f>
        <v>156</v>
      </c>
      <c r="S280" s="4" t="n">
        <f aca="false">RANK(J280,$J$7:$J$307,0)</f>
        <v>279</v>
      </c>
      <c r="T280" s="4" t="str">
        <f aca="false">IF(O280&lt;0.05,"YES","no")</f>
        <v>no</v>
      </c>
      <c r="U280" s="4" t="str">
        <f aca="false">IF(P280&lt;0.05,"YES","no")</f>
        <v>no</v>
      </c>
      <c r="V280" s="4" t="str">
        <f aca="false">IF(N280&gt;1,"YES","no")</f>
        <v>no</v>
      </c>
    </row>
    <row r="281" customFormat="false" ht="15" hidden="false" customHeight="false" outlineLevel="0" collapsed="false">
      <c r="A281" s="4" t="s">
        <v>310</v>
      </c>
      <c r="B281" s="4"/>
      <c r="C281" s="4" t="s">
        <v>61</v>
      </c>
      <c r="D281" s="8" t="n">
        <v>229.04836</v>
      </c>
      <c r="E281" s="9" t="n">
        <v>8.959</v>
      </c>
      <c r="F281" s="10" t="n">
        <v>411029.641022555</v>
      </c>
      <c r="G281" s="10" t="n">
        <v>132087.72592357</v>
      </c>
      <c r="H281" s="10" t="n">
        <v>411818.017958035</v>
      </c>
      <c r="I281" s="10" t="n">
        <v>120086.331425334</v>
      </c>
      <c r="J281" s="10" t="n">
        <v>411387.994175046</v>
      </c>
      <c r="K281" s="11" t="n">
        <v>1.00191805372848</v>
      </c>
      <c r="L281" s="11" t="n">
        <v>0.00276451620365929</v>
      </c>
      <c r="M281" s="11" t="n">
        <v>0.00342005722914797</v>
      </c>
      <c r="N281" s="11" t="n">
        <v>0.0346232699052543</v>
      </c>
      <c r="O281" s="12" t="n">
        <v>0.991963397206317</v>
      </c>
      <c r="P281" s="12" t="n">
        <v>0.991963397206317</v>
      </c>
      <c r="Q281" s="4" t="n">
        <f aca="false">RANK(N281,$N$7:$N$307,0)</f>
        <v>275</v>
      </c>
      <c r="R281" s="4" t="n">
        <f aca="false">RANK(O281,$O$7:$O$307,1)</f>
        <v>301</v>
      </c>
      <c r="S281" s="4" t="n">
        <f aca="false">RANK(J281,$J$7:$J$307,0)</f>
        <v>253</v>
      </c>
      <c r="T281" s="4" t="str">
        <f aca="false">IF(O281&lt;0.05,"YES","no")</f>
        <v>no</v>
      </c>
      <c r="U281" s="4" t="str">
        <f aca="false">IF(P281&lt;0.05,"YES","no")</f>
        <v>no</v>
      </c>
      <c r="V281" s="4" t="str">
        <f aca="false">IF(N281&gt;1,"YES","no")</f>
        <v>no</v>
      </c>
    </row>
    <row r="282" customFormat="false" ht="15" hidden="false" customHeight="false" outlineLevel="0" collapsed="false">
      <c r="A282" s="4" t="s">
        <v>195</v>
      </c>
      <c r="B282" s="4" t="s">
        <v>196</v>
      </c>
      <c r="C282" s="4" t="s">
        <v>72</v>
      </c>
      <c r="D282" s="8" t="n">
        <v>285.07264</v>
      </c>
      <c r="E282" s="9" t="n">
        <v>9.709</v>
      </c>
      <c r="F282" s="10" t="n">
        <v>1408390.06698402</v>
      </c>
      <c r="G282" s="10" t="n">
        <v>737309.284532401</v>
      </c>
      <c r="H282" s="10" t="n">
        <v>1296514.71092662</v>
      </c>
      <c r="I282" s="10" t="n">
        <v>692246.29081347</v>
      </c>
      <c r="J282" s="10" t="n">
        <v>1357537.63241248</v>
      </c>
      <c r="K282" s="11" t="n">
        <v>0.920565077331893</v>
      </c>
      <c r="L282" s="11" t="n">
        <v>-0.119408381541014</v>
      </c>
      <c r="M282" s="11" t="n">
        <v>0.0855033409644517</v>
      </c>
      <c r="N282" s="11" t="n">
        <v>0.0319726998522654</v>
      </c>
      <c r="O282" s="12" t="n">
        <v>0.801503001663</v>
      </c>
      <c r="P282" s="12" t="n">
        <v>0.896437736375293</v>
      </c>
      <c r="Q282" s="4" t="n">
        <f aca="false">RANK(N282,$N$7:$N$307,0)</f>
        <v>276</v>
      </c>
      <c r="R282" s="4" t="n">
        <f aca="false">RANK(O282,$O$7:$O$307,1)</f>
        <v>268</v>
      </c>
      <c r="S282" s="4" t="n">
        <f aca="false">RANK(J282,$J$7:$J$307,0)</f>
        <v>201</v>
      </c>
      <c r="T282" s="4" t="str">
        <f aca="false">IF(O282&lt;0.05,"YES","no")</f>
        <v>no</v>
      </c>
      <c r="U282" s="4" t="str">
        <f aca="false">IF(P282&lt;0.05,"YES","no")</f>
        <v>no</v>
      </c>
      <c r="V282" s="4" t="str">
        <f aca="false">IF(N282&gt;1,"YES","no")</f>
        <v>no</v>
      </c>
    </row>
    <row r="283" customFormat="false" ht="15" hidden="false" customHeight="false" outlineLevel="0" collapsed="false">
      <c r="A283" s="4" t="s">
        <v>405</v>
      </c>
      <c r="B283" s="4"/>
      <c r="C283" s="4" t="s">
        <v>72</v>
      </c>
      <c r="D283" s="8" t="n">
        <v>202.05104</v>
      </c>
      <c r="E283" s="9" t="n">
        <v>5.016</v>
      </c>
      <c r="F283" s="10" t="n">
        <v>58843.7882676597</v>
      </c>
      <c r="G283" s="10" t="n">
        <v>10436.4110302068</v>
      </c>
      <c r="H283" s="10" t="n">
        <v>78651.8694486534</v>
      </c>
      <c r="I283" s="10" t="n">
        <v>42417.4473328628</v>
      </c>
      <c r="J283" s="10" t="n">
        <v>67847.4615317477</v>
      </c>
      <c r="K283" s="11" t="n">
        <v>1.33662144746517</v>
      </c>
      <c r="L283" s="11" t="n">
        <v>0.418590929010466</v>
      </c>
      <c r="M283" s="11" t="n">
        <v>0.348480653252753</v>
      </c>
      <c r="N283" s="11" t="n">
        <v>0.0285740371175086</v>
      </c>
      <c r="O283" s="12" t="n">
        <v>0.360944230929345</v>
      </c>
      <c r="P283" s="12" t="n">
        <v>0.624392031665131</v>
      </c>
      <c r="Q283" s="4" t="n">
        <f aca="false">RANK(N283,$N$7:$N$307,0)</f>
        <v>277</v>
      </c>
      <c r="R283" s="4" t="n">
        <f aca="false">RANK(O283,$O$7:$O$307,1)</f>
        <v>174</v>
      </c>
      <c r="S283" s="4" t="n">
        <f aca="false">RANK(J283,$J$7:$J$307,0)</f>
        <v>294</v>
      </c>
      <c r="T283" s="4" t="str">
        <f aca="false">IF(O283&lt;0.05,"YES","no")</f>
        <v>no</v>
      </c>
      <c r="U283" s="4" t="str">
        <f aca="false">IF(P283&lt;0.05,"YES","no")</f>
        <v>no</v>
      </c>
      <c r="V283" s="4" t="str">
        <f aca="false">IF(N283&gt;1,"YES","no")</f>
        <v>no</v>
      </c>
    </row>
    <row r="284" customFormat="false" ht="15" hidden="false" customHeight="false" outlineLevel="0" collapsed="false">
      <c r="A284" s="4" t="s">
        <v>328</v>
      </c>
      <c r="B284" s="4"/>
      <c r="C284" s="4" t="s">
        <v>72</v>
      </c>
      <c r="D284" s="8" t="n">
        <v>193.03536</v>
      </c>
      <c r="E284" s="9" t="n">
        <v>10.155</v>
      </c>
      <c r="F284" s="10" t="n">
        <v>188319.86550126</v>
      </c>
      <c r="G284" s="10" t="n">
        <v>33191.8949927341</v>
      </c>
      <c r="H284" s="10" t="n">
        <v>207687.723999995</v>
      </c>
      <c r="I284" s="10" t="n">
        <v>47914.3079042766</v>
      </c>
      <c r="J284" s="10" t="n">
        <v>197123.43754614</v>
      </c>
      <c r="K284" s="11" t="n">
        <v>1.10284554126662</v>
      </c>
      <c r="L284" s="11" t="n">
        <v>0.141230748814504</v>
      </c>
      <c r="M284" s="11" t="n">
        <v>0.255148629748518</v>
      </c>
      <c r="N284" s="11" t="n">
        <v>0.0277379089424228</v>
      </c>
      <c r="O284" s="12" t="n">
        <v>0.470045327609089</v>
      </c>
      <c r="P284" s="12" t="n">
        <v>0.696963761627271</v>
      </c>
      <c r="Q284" s="4" t="n">
        <f aca="false">RANK(N284,$N$7:$N$307,0)</f>
        <v>278</v>
      </c>
      <c r="R284" s="4" t="n">
        <f aca="false">RANK(O284,$O$7:$O$307,1)</f>
        <v>203</v>
      </c>
      <c r="S284" s="4" t="n">
        <f aca="false">RANK(J284,$J$7:$J$307,0)</f>
        <v>277</v>
      </c>
      <c r="T284" s="4" t="str">
        <f aca="false">IF(O284&lt;0.05,"YES","no")</f>
        <v>no</v>
      </c>
      <c r="U284" s="4" t="str">
        <f aca="false">IF(P284&lt;0.05,"YES","no")</f>
        <v>no</v>
      </c>
      <c r="V284" s="4" t="str">
        <f aca="false">IF(N284&gt;1,"YES","no")</f>
        <v>no</v>
      </c>
    </row>
    <row r="285" customFormat="false" ht="15" hidden="false" customHeight="false" outlineLevel="0" collapsed="false">
      <c r="A285" s="4" t="s">
        <v>399</v>
      </c>
      <c r="B285" s="4"/>
      <c r="C285" s="4" t="s">
        <v>72</v>
      </c>
      <c r="D285" s="8" t="n">
        <v>176.06648</v>
      </c>
      <c r="E285" s="9" t="n">
        <v>10.275</v>
      </c>
      <c r="F285" s="10" t="n">
        <v>54003.5940545908</v>
      </c>
      <c r="G285" s="10" t="n">
        <v>15536.3387600717</v>
      </c>
      <c r="H285" s="10" t="n">
        <v>42217.3651519252</v>
      </c>
      <c r="I285" s="10" t="n">
        <v>13647.326348885</v>
      </c>
      <c r="J285" s="10" t="n">
        <v>48646.2172806519</v>
      </c>
      <c r="K285" s="11" t="n">
        <v>0.781751027704727</v>
      </c>
      <c r="L285" s="11" t="n">
        <v>-0.355218884141538</v>
      </c>
      <c r="M285" s="11" t="n">
        <v>0.403173156430833</v>
      </c>
      <c r="N285" s="11" t="n">
        <v>0.0275861137946679</v>
      </c>
      <c r="O285" s="12" t="n">
        <v>0.213574214864126</v>
      </c>
      <c r="P285" s="12" t="n">
        <v>0.545793274011047</v>
      </c>
      <c r="Q285" s="4" t="n">
        <f aca="false">RANK(N285,$N$7:$N$307,0)</f>
        <v>279</v>
      </c>
      <c r="R285" s="4" t="n">
        <f aca="false">RANK(O285,$O$7:$O$307,1)</f>
        <v>116</v>
      </c>
      <c r="S285" s="4" t="n">
        <f aca="false">RANK(J285,$J$7:$J$307,0)</f>
        <v>299</v>
      </c>
      <c r="T285" s="4" t="str">
        <f aca="false">IF(O285&lt;0.05,"YES","no")</f>
        <v>no</v>
      </c>
      <c r="U285" s="4" t="str">
        <f aca="false">IF(P285&lt;0.05,"YES","no")</f>
        <v>no</v>
      </c>
      <c r="V285" s="4" t="str">
        <f aca="false">IF(N285&gt;1,"YES","no")</f>
        <v>no</v>
      </c>
    </row>
    <row r="286" customFormat="false" ht="15" hidden="false" customHeight="false" outlineLevel="0" collapsed="false">
      <c r="A286" s="4" t="s">
        <v>394</v>
      </c>
      <c r="B286" s="4"/>
      <c r="C286" s="4" t="s">
        <v>72</v>
      </c>
      <c r="D286" s="8" t="n">
        <v>219.02645</v>
      </c>
      <c r="E286" s="9" t="n">
        <v>10.734</v>
      </c>
      <c r="F286" s="10" t="n">
        <v>215994.477156535</v>
      </c>
      <c r="G286" s="10" t="n">
        <v>161194.282877206</v>
      </c>
      <c r="H286" s="10" t="n">
        <v>209736.1514141</v>
      </c>
      <c r="I286" s="10" t="n">
        <v>141935.095723014</v>
      </c>
      <c r="J286" s="10" t="n">
        <v>213149.783637246</v>
      </c>
      <c r="K286" s="11" t="n">
        <v>0.971025528870817</v>
      </c>
      <c r="L286" s="11" t="n">
        <v>-0.0424188693858656</v>
      </c>
      <c r="M286" s="11" t="n">
        <v>0.0225209111629833</v>
      </c>
      <c r="N286" s="11" t="n">
        <v>0.0270668912604133</v>
      </c>
      <c r="O286" s="12" t="n">
        <v>0.946933792666099</v>
      </c>
      <c r="P286" s="12" t="n">
        <v>0.97198159172614</v>
      </c>
      <c r="Q286" s="4" t="n">
        <f aca="false">RANK(N286,$N$7:$N$307,0)</f>
        <v>280</v>
      </c>
      <c r="R286" s="4" t="n">
        <f aca="false">RANK(O286,$O$7:$O$307,1)</f>
        <v>293</v>
      </c>
      <c r="S286" s="4" t="n">
        <f aca="false">RANK(J286,$J$7:$J$307,0)</f>
        <v>275</v>
      </c>
      <c r="T286" s="4" t="str">
        <f aca="false">IF(O286&lt;0.05,"YES","no")</f>
        <v>no</v>
      </c>
      <c r="U286" s="4" t="str">
        <f aca="false">IF(P286&lt;0.05,"YES","no")</f>
        <v>no</v>
      </c>
      <c r="V286" s="4" t="str">
        <f aca="false">IF(N286&gt;1,"YES","no")</f>
        <v>no</v>
      </c>
    </row>
    <row r="287" customFormat="false" ht="15" hidden="false" customHeight="false" outlineLevel="0" collapsed="false">
      <c r="A287" s="4" t="s">
        <v>383</v>
      </c>
      <c r="B287" s="4"/>
      <c r="C287" s="4" t="s">
        <v>72</v>
      </c>
      <c r="D287" s="8" t="n">
        <v>167.03515</v>
      </c>
      <c r="E287" s="9" t="n">
        <v>6.887</v>
      </c>
      <c r="F287" s="10" t="n">
        <v>48850.1679791706</v>
      </c>
      <c r="G287" s="10" t="n">
        <v>36104.9635233998</v>
      </c>
      <c r="H287" s="10" t="n">
        <v>34899.3736462971</v>
      </c>
      <c r="I287" s="10" t="n">
        <v>19776.6887263338</v>
      </c>
      <c r="J287" s="10" t="n">
        <v>42508.8978278645</v>
      </c>
      <c r="K287" s="11" t="n">
        <v>0.714416655868573</v>
      </c>
      <c r="L287" s="11" t="n">
        <v>-0.485162379127442</v>
      </c>
      <c r="M287" s="11" t="n">
        <v>0.248246606840241</v>
      </c>
      <c r="N287" s="11" t="n">
        <v>0.0259247677578017</v>
      </c>
      <c r="O287" s="12" t="n">
        <v>0.440627111428353</v>
      </c>
      <c r="P287" s="12" t="n">
        <v>0.669842224949163</v>
      </c>
      <c r="Q287" s="4" t="n">
        <f aca="false">RANK(N287,$N$7:$N$307,0)</f>
        <v>281</v>
      </c>
      <c r="R287" s="4" t="n">
        <f aca="false">RANK(O287,$O$7:$O$307,1)</f>
        <v>198</v>
      </c>
      <c r="S287" s="4" t="n">
        <f aca="false">RANK(J287,$J$7:$J$307,0)</f>
        <v>300</v>
      </c>
      <c r="T287" s="4" t="str">
        <f aca="false">IF(O287&lt;0.05,"YES","no")</f>
        <v>no</v>
      </c>
      <c r="U287" s="4" t="str">
        <f aca="false">IF(P287&lt;0.05,"YES","no")</f>
        <v>no</v>
      </c>
      <c r="V287" s="4" t="str">
        <f aca="false">IF(N287&gt;1,"YES","no")</f>
        <v>no</v>
      </c>
    </row>
    <row r="288" customFormat="false" ht="15" hidden="false" customHeight="false" outlineLevel="0" collapsed="false">
      <c r="A288" s="4" t="s">
        <v>326</v>
      </c>
      <c r="B288" s="4"/>
      <c r="C288" s="4" t="s">
        <v>72</v>
      </c>
      <c r="D288" s="8" t="n">
        <v>209.09184</v>
      </c>
      <c r="E288" s="9" t="n">
        <v>9.133</v>
      </c>
      <c r="F288" s="10" t="n">
        <v>225655.642130644</v>
      </c>
      <c r="G288" s="10" t="n">
        <v>82269.6555528893</v>
      </c>
      <c r="H288" s="10" t="n">
        <v>252953.553060929</v>
      </c>
      <c r="I288" s="10" t="n">
        <v>45348.1097255647</v>
      </c>
      <c r="J288" s="10" t="n">
        <v>238063.783462592</v>
      </c>
      <c r="K288" s="11" t="n">
        <v>1.12097154173739</v>
      </c>
      <c r="L288" s="11" t="n">
        <v>0.164749652705793</v>
      </c>
      <c r="M288" s="11" t="n">
        <v>0.21467251975418</v>
      </c>
      <c r="N288" s="11" t="n">
        <v>0.0253649243638002</v>
      </c>
      <c r="O288" s="12" t="n">
        <v>0.506320301770272</v>
      </c>
      <c r="P288" s="12" t="n">
        <v>0.712160798284355</v>
      </c>
      <c r="Q288" s="4" t="n">
        <f aca="false">RANK(N288,$N$7:$N$307,0)</f>
        <v>282</v>
      </c>
      <c r="R288" s="4" t="n">
        <f aca="false">RANK(O288,$O$7:$O$307,1)</f>
        <v>214</v>
      </c>
      <c r="S288" s="4" t="n">
        <f aca="false">RANK(J288,$J$7:$J$307,0)</f>
        <v>271</v>
      </c>
      <c r="T288" s="4" t="str">
        <f aca="false">IF(O288&lt;0.05,"YES","no")</f>
        <v>no</v>
      </c>
      <c r="U288" s="4" t="str">
        <f aca="false">IF(P288&lt;0.05,"YES","no")</f>
        <v>no</v>
      </c>
      <c r="V288" s="4" t="str">
        <f aca="false">IF(N288&gt;1,"YES","no")</f>
        <v>no</v>
      </c>
    </row>
    <row r="289" customFormat="false" ht="15" hidden="false" customHeight="false" outlineLevel="0" collapsed="false">
      <c r="A289" s="4" t="s">
        <v>230</v>
      </c>
      <c r="B289" s="4"/>
      <c r="C289" s="4" t="s">
        <v>61</v>
      </c>
      <c r="D289" s="8" t="n">
        <v>175.02481</v>
      </c>
      <c r="E289" s="9" t="n">
        <v>10.321</v>
      </c>
      <c r="F289" s="10" t="n">
        <v>272322.360358902</v>
      </c>
      <c r="G289" s="10" t="n">
        <v>141614.552883206</v>
      </c>
      <c r="H289" s="10" t="n">
        <v>305378.293439714</v>
      </c>
      <c r="I289" s="10" t="n">
        <v>126550.568557697</v>
      </c>
      <c r="J289" s="10" t="n">
        <v>287347.784486544</v>
      </c>
      <c r="K289" s="11" t="n">
        <v>1.12138530613956</v>
      </c>
      <c r="L289" s="11" t="n">
        <v>0.165282070958883</v>
      </c>
      <c r="M289" s="11" t="n">
        <v>0.133459038794177</v>
      </c>
      <c r="N289" s="11" t="n">
        <v>0.024852548665493</v>
      </c>
      <c r="O289" s="12" t="n">
        <v>0.692473379027181</v>
      </c>
      <c r="P289" s="12" t="n">
        <v>0.847241543387077</v>
      </c>
      <c r="Q289" s="4" t="n">
        <f aca="false">RANK(N289,$N$7:$N$307,0)</f>
        <v>283</v>
      </c>
      <c r="R289" s="4" t="n">
        <f aca="false">RANK(O289,$O$7:$O$307,1)</f>
        <v>246</v>
      </c>
      <c r="S289" s="4" t="n">
        <f aca="false">RANK(J289,$J$7:$J$307,0)</f>
        <v>264</v>
      </c>
      <c r="T289" s="4" t="str">
        <f aca="false">IF(O289&lt;0.05,"YES","no")</f>
        <v>no</v>
      </c>
      <c r="U289" s="4" t="str">
        <f aca="false">IF(P289&lt;0.05,"YES","no")</f>
        <v>no</v>
      </c>
      <c r="V289" s="4" t="str">
        <f aca="false">IF(N289&gt;1,"YES","no")</f>
        <v>no</v>
      </c>
    </row>
    <row r="290" customFormat="false" ht="15" hidden="false" customHeight="false" outlineLevel="0" collapsed="false">
      <c r="A290" s="4" t="s">
        <v>396</v>
      </c>
      <c r="B290" s="4"/>
      <c r="C290" s="4" t="s">
        <v>61</v>
      </c>
      <c r="D290" s="8" t="n">
        <v>565.04834</v>
      </c>
      <c r="E290" s="9" t="n">
        <v>9.699</v>
      </c>
      <c r="F290" s="10" t="n">
        <v>241116.192185119</v>
      </c>
      <c r="G290" s="10" t="n">
        <v>87504.9425046981</v>
      </c>
      <c r="H290" s="10" t="n">
        <v>266386.394821542</v>
      </c>
      <c r="I290" s="10" t="n">
        <v>35343.6456024434</v>
      </c>
      <c r="J290" s="10" t="n">
        <v>252602.647928947</v>
      </c>
      <c r="K290" s="11" t="n">
        <v>1.10480508342228</v>
      </c>
      <c r="L290" s="11" t="n">
        <v>0.143791862843322</v>
      </c>
      <c r="M290" s="11" t="n">
        <v>0.196676130227629</v>
      </c>
      <c r="N290" s="11" t="n">
        <v>0.0241649561770654</v>
      </c>
      <c r="O290" s="12" t="n">
        <v>0.538850587933045</v>
      </c>
      <c r="P290" s="12" t="n">
        <v>0.733789713282633</v>
      </c>
      <c r="Q290" s="4" t="n">
        <f aca="false">RANK(N290,$N$7:$N$307,0)</f>
        <v>284</v>
      </c>
      <c r="R290" s="4" t="n">
        <f aca="false">RANK(O290,$O$7:$O$307,1)</f>
        <v>221</v>
      </c>
      <c r="S290" s="4" t="n">
        <f aca="false">RANK(J290,$J$7:$J$307,0)</f>
        <v>268</v>
      </c>
      <c r="T290" s="4" t="str">
        <f aca="false">IF(O290&lt;0.05,"YES","no")</f>
        <v>no</v>
      </c>
      <c r="U290" s="4" t="str">
        <f aca="false">IF(P290&lt;0.05,"YES","no")</f>
        <v>no</v>
      </c>
      <c r="V290" s="4" t="str">
        <f aca="false">IF(N290&gt;1,"YES","no")</f>
        <v>no</v>
      </c>
    </row>
    <row r="291" customFormat="false" ht="15" hidden="false" customHeight="false" outlineLevel="0" collapsed="false">
      <c r="A291" s="4" t="s">
        <v>377</v>
      </c>
      <c r="B291" s="4"/>
      <c r="C291" s="4" t="s">
        <v>72</v>
      </c>
      <c r="D291" s="8" t="n">
        <v>169.12354</v>
      </c>
      <c r="E291" s="9" t="n">
        <v>4.057</v>
      </c>
      <c r="F291" s="10" t="n">
        <v>403927.140557621</v>
      </c>
      <c r="G291" s="10" t="n">
        <v>157833.34589669</v>
      </c>
      <c r="H291" s="10" t="n">
        <v>364046.663159525</v>
      </c>
      <c r="I291" s="10" t="n">
        <v>186461.890596846</v>
      </c>
      <c r="J291" s="10" t="n">
        <v>385799.650831214</v>
      </c>
      <c r="K291" s="11" t="n">
        <v>0.9012681412221</v>
      </c>
      <c r="L291" s="11" t="n">
        <v>-0.149971700880362</v>
      </c>
      <c r="M291" s="11" t="n">
        <v>0.127228475969653</v>
      </c>
      <c r="N291" s="11" t="n">
        <v>0.0235286169844253</v>
      </c>
      <c r="O291" s="12" t="n">
        <v>0.715026949688626</v>
      </c>
      <c r="P291" s="12" t="n">
        <v>0.856454635073149</v>
      </c>
      <c r="Q291" s="4" t="n">
        <f aca="false">RANK(N291,$N$7:$N$307,0)</f>
        <v>285</v>
      </c>
      <c r="R291" s="4" t="n">
        <f aca="false">RANK(O291,$O$7:$O$307,1)</f>
        <v>251</v>
      </c>
      <c r="S291" s="4" t="n">
        <f aca="false">RANK(J291,$J$7:$J$307,0)</f>
        <v>257</v>
      </c>
      <c r="T291" s="4" t="str">
        <f aca="false">IF(O291&lt;0.05,"YES","no")</f>
        <v>no</v>
      </c>
      <c r="U291" s="4" t="str">
        <f aca="false">IF(P291&lt;0.05,"YES","no")</f>
        <v>no</v>
      </c>
      <c r="V291" s="4" t="str">
        <f aca="false">IF(N291&gt;1,"YES","no")</f>
        <v>no</v>
      </c>
    </row>
    <row r="292" customFormat="false" ht="15" hidden="false" customHeight="false" outlineLevel="0" collapsed="false">
      <c r="A292" s="4" t="s">
        <v>287</v>
      </c>
      <c r="B292" s="4" t="s">
        <v>142</v>
      </c>
      <c r="C292" s="4" t="s">
        <v>61</v>
      </c>
      <c r="D292" s="8" t="n">
        <v>606.07521</v>
      </c>
      <c r="E292" s="9" t="n">
        <v>8.336</v>
      </c>
      <c r="F292" s="10" t="n">
        <v>615464.204993708</v>
      </c>
      <c r="G292" s="10" t="n">
        <v>253190.312458482</v>
      </c>
      <c r="H292" s="10" t="n">
        <v>625917.994440815</v>
      </c>
      <c r="I292" s="10" t="n">
        <v>229941.812627358</v>
      </c>
      <c r="J292" s="10" t="n">
        <v>620215.927469665</v>
      </c>
      <c r="K292" s="11" t="n">
        <v>1.01698521110129</v>
      </c>
      <c r="L292" s="11" t="n">
        <v>0.0242986998188563</v>
      </c>
      <c r="M292" s="11" t="n">
        <v>0.0236620624142859</v>
      </c>
      <c r="N292" s="11" t="n">
        <v>0.0218854332226864</v>
      </c>
      <c r="O292" s="12" t="n">
        <v>0.944428196121406</v>
      </c>
      <c r="P292" s="12" t="n">
        <v>0.97198159172614</v>
      </c>
      <c r="Q292" s="4" t="n">
        <f aca="false">RANK(N292,$N$7:$N$307,0)</f>
        <v>286</v>
      </c>
      <c r="R292" s="4" t="n">
        <f aca="false">RANK(O292,$O$7:$O$307,1)</f>
        <v>292</v>
      </c>
      <c r="S292" s="4" t="n">
        <f aca="false">RANK(J292,$J$7:$J$307,0)</f>
        <v>238</v>
      </c>
      <c r="T292" s="4" t="str">
        <f aca="false">IF(O292&lt;0.05,"YES","no")</f>
        <v>no</v>
      </c>
      <c r="U292" s="4" t="str">
        <f aca="false">IF(P292&lt;0.05,"YES","no")</f>
        <v>no</v>
      </c>
      <c r="V292" s="4" t="str">
        <f aca="false">IF(N292&gt;1,"YES","no")</f>
        <v>no</v>
      </c>
    </row>
    <row r="293" customFormat="false" ht="15" hidden="false" customHeight="false" outlineLevel="0" collapsed="false">
      <c r="A293" s="4" t="s">
        <v>285</v>
      </c>
      <c r="B293" s="4"/>
      <c r="C293" s="4" t="s">
        <v>72</v>
      </c>
      <c r="D293" s="8" t="n">
        <v>306.06015</v>
      </c>
      <c r="E293" s="9" t="n">
        <v>9.197</v>
      </c>
      <c r="F293" s="10" t="n">
        <v>80819.9598817617</v>
      </c>
      <c r="G293" s="10" t="n">
        <v>58696.2529833459</v>
      </c>
      <c r="H293" s="10" t="n">
        <v>61610.7257199119</v>
      </c>
      <c r="I293" s="10" t="n">
        <v>101468.616363324</v>
      </c>
      <c r="J293" s="10" t="n">
        <v>72088.4898081936</v>
      </c>
      <c r="K293" s="11" t="n">
        <v>0.762320666949692</v>
      </c>
      <c r="L293" s="11" t="n">
        <v>-0.391530105956284</v>
      </c>
      <c r="M293" s="11" t="n">
        <v>0.130143412732238</v>
      </c>
      <c r="N293" s="11" t="n">
        <v>0.0218276386842619</v>
      </c>
      <c r="O293" s="12" t="n">
        <v>0.720710676040156</v>
      </c>
      <c r="P293" s="12" t="n">
        <v>0.856454635073149</v>
      </c>
      <c r="Q293" s="4" t="n">
        <f aca="false">RANK(N293,$N$7:$N$307,0)</f>
        <v>287</v>
      </c>
      <c r="R293" s="4" t="n">
        <f aca="false">RANK(O293,$O$7:$O$307,1)</f>
        <v>253</v>
      </c>
      <c r="S293" s="4" t="n">
        <f aca="false">RANK(J293,$J$7:$J$307,0)</f>
        <v>292</v>
      </c>
      <c r="T293" s="4" t="str">
        <f aca="false">IF(O293&lt;0.05,"YES","no")</f>
        <v>no</v>
      </c>
      <c r="U293" s="4" t="str">
        <f aca="false">IF(P293&lt;0.05,"YES","no")</f>
        <v>no</v>
      </c>
      <c r="V293" s="4" t="str">
        <f aca="false">IF(N293&gt;1,"YES","no")</f>
        <v>no</v>
      </c>
    </row>
    <row r="294" customFormat="false" ht="15" hidden="false" customHeight="false" outlineLevel="0" collapsed="false">
      <c r="A294" s="4" t="s">
        <v>294</v>
      </c>
      <c r="B294" s="4"/>
      <c r="C294" s="4" t="s">
        <v>61</v>
      </c>
      <c r="D294" s="8" t="n">
        <v>304.03389</v>
      </c>
      <c r="E294" s="9" t="n">
        <v>8.879</v>
      </c>
      <c r="F294" s="10" t="n">
        <v>121761.12738403</v>
      </c>
      <c r="G294" s="10" t="n">
        <v>36196.602173991</v>
      </c>
      <c r="H294" s="10" t="n">
        <v>140233.29366304</v>
      </c>
      <c r="I294" s="10" t="n">
        <v>95943.620887112</v>
      </c>
      <c r="J294" s="10" t="n">
        <v>130157.566601762</v>
      </c>
      <c r="K294" s="11" t="n">
        <v>1.15170823953321</v>
      </c>
      <c r="L294" s="11" t="n">
        <v>0.203775287362046</v>
      </c>
      <c r="M294" s="11" t="n">
        <v>0.144933588469483</v>
      </c>
      <c r="N294" s="11" t="n">
        <v>0.0217998155728994</v>
      </c>
      <c r="O294" s="12" t="n">
        <v>0.7009767816318</v>
      </c>
      <c r="P294" s="12" t="n">
        <v>0.84736550711314</v>
      </c>
      <c r="Q294" s="4" t="n">
        <f aca="false">RANK(N294,$N$7:$N$307,0)</f>
        <v>288</v>
      </c>
      <c r="R294" s="4" t="n">
        <f aca="false">RANK(O294,$O$7:$O$307,1)</f>
        <v>249</v>
      </c>
      <c r="S294" s="4" t="n">
        <f aca="false">RANK(J294,$J$7:$J$307,0)</f>
        <v>285</v>
      </c>
      <c r="T294" s="4" t="str">
        <f aca="false">IF(O294&lt;0.05,"YES","no")</f>
        <v>no</v>
      </c>
      <c r="U294" s="4" t="str">
        <f aca="false">IF(P294&lt;0.05,"YES","no")</f>
        <v>no</v>
      </c>
      <c r="V294" s="4" t="str">
        <f aca="false">IF(N294&gt;1,"YES","no")</f>
        <v>no</v>
      </c>
    </row>
    <row r="295" customFormat="false" ht="15" hidden="false" customHeight="false" outlineLevel="0" collapsed="false">
      <c r="A295" s="4" t="s">
        <v>373</v>
      </c>
      <c r="B295" s="4"/>
      <c r="C295" s="4" t="s">
        <v>72</v>
      </c>
      <c r="D295" s="8" t="n">
        <v>165.05566</v>
      </c>
      <c r="E295" s="9" t="n">
        <v>4.894</v>
      </c>
      <c r="F295" s="10" t="n">
        <v>185672.598902397</v>
      </c>
      <c r="G295" s="10" t="n">
        <v>96152.383004376</v>
      </c>
      <c r="H295" s="10" t="n">
        <v>170124.421987171</v>
      </c>
      <c r="I295" s="10" t="n">
        <v>69525.7671621964</v>
      </c>
      <c r="J295" s="10" t="n">
        <v>178605.245759113</v>
      </c>
      <c r="K295" s="11" t="n">
        <v>0.916260250531641</v>
      </c>
      <c r="L295" s="11" t="n">
        <v>-0.126170661604413</v>
      </c>
      <c r="M295" s="11" t="n">
        <v>0.0997805195073564</v>
      </c>
      <c r="N295" s="11" t="n">
        <v>0.0217195749595875</v>
      </c>
      <c r="O295" s="12" t="n">
        <v>0.763356600319313</v>
      </c>
      <c r="P295" s="12" t="n">
        <v>0.876986017924096</v>
      </c>
      <c r="Q295" s="4" t="n">
        <f aca="false">RANK(N295,$N$7:$N$307,0)</f>
        <v>289</v>
      </c>
      <c r="R295" s="4" t="n">
        <f aca="false">RANK(O295,$O$7:$O$307,1)</f>
        <v>262</v>
      </c>
      <c r="S295" s="4" t="n">
        <f aca="false">RANK(J295,$J$7:$J$307,0)</f>
        <v>280</v>
      </c>
      <c r="T295" s="4" t="str">
        <f aca="false">IF(O295&lt;0.05,"YES","no")</f>
        <v>no</v>
      </c>
      <c r="U295" s="4" t="str">
        <f aca="false">IF(P295&lt;0.05,"YES","no")</f>
        <v>no</v>
      </c>
      <c r="V295" s="4" t="str">
        <f aca="false">IF(N295&gt;1,"YES","no")</f>
        <v>no</v>
      </c>
    </row>
    <row r="296" customFormat="false" ht="15" hidden="false" customHeight="false" outlineLevel="0" collapsed="false">
      <c r="A296" s="4" t="s">
        <v>288</v>
      </c>
      <c r="B296" s="4"/>
      <c r="C296" s="4" t="s">
        <v>61</v>
      </c>
      <c r="D296" s="8" t="n">
        <v>426.02229</v>
      </c>
      <c r="E296" s="9" t="n">
        <v>10.983</v>
      </c>
      <c r="F296" s="10" t="n">
        <v>1953800.16231698</v>
      </c>
      <c r="G296" s="10" t="n">
        <v>403345.20425495</v>
      </c>
      <c r="H296" s="10" t="n">
        <v>1911212.11764357</v>
      </c>
      <c r="I296" s="10" t="n">
        <v>184263.774313927</v>
      </c>
      <c r="J296" s="10" t="n">
        <v>1934441.9601927</v>
      </c>
      <c r="K296" s="11" t="n">
        <v>0.978202456169874</v>
      </c>
      <c r="L296" s="11" t="n">
        <v>-0.0317950077421776</v>
      </c>
      <c r="M296" s="11" t="n">
        <v>0.0720001190834528</v>
      </c>
      <c r="N296" s="11" t="n">
        <v>0.0214895456837794</v>
      </c>
      <c r="O296" s="12" t="n">
        <v>0.823483202928991</v>
      </c>
      <c r="P296" s="12" t="n">
        <v>0.907187464413559</v>
      </c>
      <c r="Q296" s="4" t="n">
        <f aca="false">RANK(N296,$N$7:$N$307,0)</f>
        <v>290</v>
      </c>
      <c r="R296" s="4" t="n">
        <f aca="false">RANK(O296,$O$7:$O$307,1)</f>
        <v>273</v>
      </c>
      <c r="S296" s="4" t="n">
        <f aca="false">RANK(J296,$J$7:$J$307,0)</f>
        <v>178</v>
      </c>
      <c r="T296" s="4" t="str">
        <f aca="false">IF(O296&lt;0.05,"YES","no")</f>
        <v>no</v>
      </c>
      <c r="U296" s="4" t="str">
        <f aca="false">IF(P296&lt;0.05,"YES","no")</f>
        <v>no</v>
      </c>
      <c r="V296" s="4" t="str">
        <f aca="false">IF(N296&gt;1,"YES","no")</f>
        <v>no</v>
      </c>
    </row>
    <row r="297" customFormat="false" ht="15" hidden="false" customHeight="false" outlineLevel="0" collapsed="false">
      <c r="A297" s="4" t="s">
        <v>400</v>
      </c>
      <c r="B297" s="4"/>
      <c r="C297" s="4" t="s">
        <v>72</v>
      </c>
      <c r="D297" s="8" t="n">
        <v>209.06786</v>
      </c>
      <c r="E297" s="9" t="n">
        <v>4.923</v>
      </c>
      <c r="F297" s="10" t="n">
        <v>52192.140173325</v>
      </c>
      <c r="G297" s="10" t="n">
        <v>47604.097374175</v>
      </c>
      <c r="H297" s="10" t="n">
        <v>49232.2842314769</v>
      </c>
      <c r="I297" s="10" t="n">
        <v>40413.2811809939</v>
      </c>
      <c r="J297" s="10" t="n">
        <v>50846.7511088486</v>
      </c>
      <c r="K297" s="11" t="n">
        <v>0.943289239873692</v>
      </c>
      <c r="L297" s="11" t="n">
        <v>-0.0842278839562119</v>
      </c>
      <c r="M297" s="11" t="n">
        <v>0.0365476204527253</v>
      </c>
      <c r="N297" s="11" t="n">
        <v>0.0192683762342896</v>
      </c>
      <c r="O297" s="12" t="n">
        <v>0.91364978657449</v>
      </c>
      <c r="P297" s="12" t="n">
        <v>0.945046686456775</v>
      </c>
      <c r="Q297" s="4" t="n">
        <f aca="false">RANK(N297,$N$7:$N$307,0)</f>
        <v>291</v>
      </c>
      <c r="R297" s="4" t="n">
        <f aca="false">RANK(O297,$O$7:$O$307,1)</f>
        <v>291</v>
      </c>
      <c r="S297" s="4" t="n">
        <f aca="false">RANK(J297,$J$7:$J$307,0)</f>
        <v>298</v>
      </c>
      <c r="T297" s="4" t="str">
        <f aca="false">IF(O297&lt;0.05,"YES","no")</f>
        <v>no</v>
      </c>
      <c r="U297" s="4" t="str">
        <f aca="false">IF(P297&lt;0.05,"YES","no")</f>
        <v>no</v>
      </c>
      <c r="V297" s="4" t="str">
        <f aca="false">IF(N297&gt;1,"YES","no")</f>
        <v>no</v>
      </c>
    </row>
    <row r="298" customFormat="false" ht="15" hidden="false" customHeight="false" outlineLevel="0" collapsed="false">
      <c r="A298" s="4" t="s">
        <v>331</v>
      </c>
      <c r="B298" s="4"/>
      <c r="C298" s="4" t="s">
        <v>72</v>
      </c>
      <c r="D298" s="8" t="n">
        <v>251.07857</v>
      </c>
      <c r="E298" s="9" t="n">
        <v>8.282</v>
      </c>
      <c r="F298" s="10" t="n">
        <v>56533.1518498931</v>
      </c>
      <c r="G298" s="10" t="n">
        <v>25510.1238808827</v>
      </c>
      <c r="H298" s="10" t="n">
        <v>61032.7788161947</v>
      </c>
      <c r="I298" s="10" t="n">
        <v>40570.957685206</v>
      </c>
      <c r="J298" s="10" t="n">
        <v>58578.4368345757</v>
      </c>
      <c r="K298" s="11" t="n">
        <v>1.07959271363905</v>
      </c>
      <c r="L298" s="11" t="n">
        <v>0.110487144947898</v>
      </c>
      <c r="M298" s="11" t="n">
        <v>0.0747094363520882</v>
      </c>
      <c r="N298" s="11" t="n">
        <v>0.0192109116448208</v>
      </c>
      <c r="O298" s="12" t="n">
        <v>0.836288458357437</v>
      </c>
      <c r="P298" s="12" t="n">
        <v>0.907187464413559</v>
      </c>
      <c r="Q298" s="4" t="n">
        <f aca="false">RANK(N298,$N$7:$N$307,0)</f>
        <v>292</v>
      </c>
      <c r="R298" s="4" t="n">
        <f aca="false">RANK(O298,$O$7:$O$307,1)</f>
        <v>277</v>
      </c>
      <c r="S298" s="4" t="n">
        <f aca="false">RANK(J298,$J$7:$J$307,0)</f>
        <v>297</v>
      </c>
      <c r="T298" s="4" t="str">
        <f aca="false">IF(O298&lt;0.05,"YES","no")</f>
        <v>no</v>
      </c>
      <c r="U298" s="4" t="str">
        <f aca="false">IF(P298&lt;0.05,"YES","no")</f>
        <v>no</v>
      </c>
      <c r="V298" s="4" t="str">
        <f aca="false">IF(N298&gt;1,"YES","no")</f>
        <v>no</v>
      </c>
    </row>
    <row r="299" customFormat="false" ht="15" hidden="false" customHeight="false" outlineLevel="0" collapsed="false">
      <c r="A299" s="4" t="s">
        <v>261</v>
      </c>
      <c r="B299" s="4"/>
      <c r="C299" s="4" t="s">
        <v>61</v>
      </c>
      <c r="D299" s="8" t="n">
        <v>152.00239</v>
      </c>
      <c r="E299" s="9" t="n">
        <v>9.577</v>
      </c>
      <c r="F299" s="10" t="n">
        <v>71967.0003274529</v>
      </c>
      <c r="G299" s="10" t="n">
        <v>36273.8427757637</v>
      </c>
      <c r="H299" s="10" t="n">
        <v>59030.3850466243</v>
      </c>
      <c r="I299" s="10" t="n">
        <v>18303.8834887103</v>
      </c>
      <c r="J299" s="10" t="n">
        <v>66086.720654349</v>
      </c>
      <c r="K299" s="11" t="n">
        <v>0.820242399683655</v>
      </c>
      <c r="L299" s="11" t="n">
        <v>-0.285877774006514</v>
      </c>
      <c r="M299" s="11" t="n">
        <v>0.233442138782255</v>
      </c>
      <c r="N299" s="11" t="n">
        <v>0.0186229969412354</v>
      </c>
      <c r="O299" s="12" t="n">
        <v>0.467517882147864</v>
      </c>
      <c r="P299" s="12" t="n">
        <v>0.69664793329954</v>
      </c>
      <c r="Q299" s="4" t="n">
        <f aca="false">RANK(N299,$N$7:$N$307,0)</f>
        <v>293</v>
      </c>
      <c r="R299" s="4" t="n">
        <f aca="false">RANK(O299,$O$7:$O$307,1)</f>
        <v>202</v>
      </c>
      <c r="S299" s="4" t="n">
        <f aca="false">RANK(J299,$J$7:$J$307,0)</f>
        <v>295</v>
      </c>
      <c r="T299" s="4" t="str">
        <f aca="false">IF(O299&lt;0.05,"YES","no")</f>
        <v>no</v>
      </c>
      <c r="U299" s="4" t="str">
        <f aca="false">IF(P299&lt;0.05,"YES","no")</f>
        <v>no</v>
      </c>
      <c r="V299" s="4" t="str">
        <f aca="false">IF(N299&gt;1,"YES","no")</f>
        <v>no</v>
      </c>
    </row>
    <row r="300" customFormat="false" ht="15" hidden="false" customHeight="false" outlineLevel="0" collapsed="false">
      <c r="A300" s="4" t="s">
        <v>340</v>
      </c>
      <c r="B300" s="4"/>
      <c r="C300" s="4" t="s">
        <v>72</v>
      </c>
      <c r="D300" s="8" t="n">
        <v>118.04975</v>
      </c>
      <c r="E300" s="9" t="n">
        <v>7.787</v>
      </c>
      <c r="F300" s="10" t="n">
        <v>248953.188043953</v>
      </c>
      <c r="G300" s="10" t="n">
        <v>131823.206062269</v>
      </c>
      <c r="H300" s="10" t="n">
        <v>236631.561343602</v>
      </c>
      <c r="I300" s="10" t="n">
        <v>41397.5981983506</v>
      </c>
      <c r="J300" s="10" t="n">
        <v>243352.448634703</v>
      </c>
      <c r="K300" s="11" t="n">
        <v>0.950506250604125</v>
      </c>
      <c r="L300" s="11" t="n">
        <v>-0.0732319807058827</v>
      </c>
      <c r="M300" s="11" t="n">
        <v>0.0663145116744249</v>
      </c>
      <c r="N300" s="11" t="n">
        <v>0.0163804458563084</v>
      </c>
      <c r="O300" s="12" t="n">
        <v>0.835603725241754</v>
      </c>
      <c r="P300" s="12" t="n">
        <v>0.907187464413559</v>
      </c>
      <c r="Q300" s="4" t="n">
        <f aca="false">RANK(N300,$N$7:$N$307,0)</f>
        <v>294</v>
      </c>
      <c r="R300" s="4" t="n">
        <f aca="false">RANK(O300,$O$7:$O$307,1)</f>
        <v>275</v>
      </c>
      <c r="S300" s="4" t="n">
        <f aca="false">RANK(J300,$J$7:$J$307,0)</f>
        <v>270</v>
      </c>
      <c r="T300" s="4" t="str">
        <f aca="false">IF(O300&lt;0.05,"YES","no")</f>
        <v>no</v>
      </c>
      <c r="U300" s="4" t="str">
        <f aca="false">IF(P300&lt;0.05,"YES","no")</f>
        <v>no</v>
      </c>
      <c r="V300" s="4" t="str">
        <f aca="false">IF(N300&gt;1,"YES","no")</f>
        <v>no</v>
      </c>
    </row>
    <row r="301" customFormat="false" ht="15" hidden="false" customHeight="false" outlineLevel="0" collapsed="false">
      <c r="A301" s="4" t="s">
        <v>406</v>
      </c>
      <c r="B301" s="4"/>
      <c r="C301" s="4" t="s">
        <v>72</v>
      </c>
      <c r="D301" s="8" t="n">
        <v>185.0809</v>
      </c>
      <c r="E301" s="9" t="n">
        <v>6.797</v>
      </c>
      <c r="F301" s="10" t="n">
        <v>88575.5350945819</v>
      </c>
      <c r="G301" s="10" t="n">
        <v>34714.4192380298</v>
      </c>
      <c r="H301" s="10" t="n">
        <v>89591.6523573298</v>
      </c>
      <c r="I301" s="10" t="n">
        <v>25270.2071485192</v>
      </c>
      <c r="J301" s="10" t="n">
        <v>89037.4065776491</v>
      </c>
      <c r="K301" s="11" t="n">
        <v>1.01147175979985</v>
      </c>
      <c r="L301" s="11" t="n">
        <v>0.0164560405432866</v>
      </c>
      <c r="M301" s="11" t="n">
        <v>0.0181133416988281</v>
      </c>
      <c r="N301" s="11" t="n">
        <v>0.0162233982002707</v>
      </c>
      <c r="O301" s="12" t="n">
        <v>0.956535962574392</v>
      </c>
      <c r="P301" s="12" t="n">
        <v>0.97198159172614</v>
      </c>
      <c r="Q301" s="4" t="n">
        <f aca="false">RANK(N301,$N$7:$N$307,0)</f>
        <v>295</v>
      </c>
      <c r="R301" s="4" t="n">
        <f aca="false">RANK(O301,$O$7:$O$307,1)</f>
        <v>295</v>
      </c>
      <c r="S301" s="4" t="n">
        <f aca="false">RANK(J301,$J$7:$J$307,0)</f>
        <v>291</v>
      </c>
      <c r="T301" s="4" t="str">
        <f aca="false">IF(O301&lt;0.05,"YES","no")</f>
        <v>no</v>
      </c>
      <c r="U301" s="4" t="str">
        <f aca="false">IF(P301&lt;0.05,"YES","no")</f>
        <v>no</v>
      </c>
      <c r="V301" s="4" t="str">
        <f aca="false">IF(N301&gt;1,"YES","no")</f>
        <v>no</v>
      </c>
    </row>
    <row r="302" customFormat="false" ht="15" hidden="false" customHeight="false" outlineLevel="0" collapsed="false">
      <c r="A302" s="4" t="s">
        <v>345</v>
      </c>
      <c r="B302" s="4"/>
      <c r="C302" s="4" t="s">
        <v>72</v>
      </c>
      <c r="D302" s="8" t="n">
        <v>208.0967</v>
      </c>
      <c r="E302" s="9" t="n">
        <v>5.003</v>
      </c>
      <c r="F302" s="10" t="n">
        <v>103238.947262881</v>
      </c>
      <c r="G302" s="10" t="n">
        <v>51277.1598584847</v>
      </c>
      <c r="H302" s="10" t="n">
        <v>112859.520466185</v>
      </c>
      <c r="I302" s="10" t="n">
        <v>48307.1048235338</v>
      </c>
      <c r="J302" s="10" t="n">
        <v>107611.935082565</v>
      </c>
      <c r="K302" s="11" t="n">
        <v>1.09318743999595</v>
      </c>
      <c r="L302" s="11" t="n">
        <v>0.128540789452669</v>
      </c>
      <c r="M302" s="11" t="n">
        <v>0.105373745061989</v>
      </c>
      <c r="N302" s="11" t="n">
        <v>0.0144856570685994</v>
      </c>
      <c r="O302" s="12" t="n">
        <v>0.756559578498589</v>
      </c>
      <c r="P302" s="12" t="n">
        <v>0.875863204338751</v>
      </c>
      <c r="Q302" s="4" t="n">
        <f aca="false">RANK(N302,$N$7:$N$307,0)</f>
        <v>296</v>
      </c>
      <c r="R302" s="4" t="n">
        <f aca="false">RANK(O302,$O$7:$O$307,1)</f>
        <v>260</v>
      </c>
      <c r="S302" s="4" t="n">
        <f aca="false">RANK(J302,$J$7:$J$307,0)</f>
        <v>287</v>
      </c>
      <c r="T302" s="4" t="str">
        <f aca="false">IF(O302&lt;0.05,"YES","no")</f>
        <v>no</v>
      </c>
      <c r="U302" s="4" t="str">
        <f aca="false">IF(P302&lt;0.05,"YES","no")</f>
        <v>no</v>
      </c>
      <c r="V302" s="4" t="str">
        <f aca="false">IF(N302&gt;1,"YES","no")</f>
        <v>no</v>
      </c>
    </row>
    <row r="303" customFormat="false" ht="15" hidden="false" customHeight="false" outlineLevel="0" collapsed="false">
      <c r="A303" s="4" t="s">
        <v>386</v>
      </c>
      <c r="B303" s="4"/>
      <c r="C303" s="4" t="s">
        <v>72</v>
      </c>
      <c r="D303" s="8" t="n">
        <v>203.12759</v>
      </c>
      <c r="E303" s="9" t="n">
        <v>5.019</v>
      </c>
      <c r="F303" s="10" t="n">
        <v>64771.9888458562</v>
      </c>
      <c r="G303" s="10" t="n">
        <v>23135.6828915835</v>
      </c>
      <c r="H303" s="10" t="n">
        <v>61598.4854074524</v>
      </c>
      <c r="I303" s="10" t="n">
        <v>27455.1770795822</v>
      </c>
      <c r="J303" s="10" t="n">
        <v>63329.4872829454</v>
      </c>
      <c r="K303" s="11" t="n">
        <v>0.951005002394536</v>
      </c>
      <c r="L303" s="11" t="n">
        <v>-0.0724751650414729</v>
      </c>
      <c r="M303" s="11" t="n">
        <v>0.0693021200146831</v>
      </c>
      <c r="N303" s="11" t="n">
        <v>0.0135635837998999</v>
      </c>
      <c r="O303" s="12" t="n">
        <v>0.84284825922944</v>
      </c>
      <c r="P303" s="12" t="n">
        <v>0.909309412286959</v>
      </c>
      <c r="Q303" s="4" t="n">
        <f aca="false">RANK(N303,$N$7:$N$307,0)</f>
        <v>297</v>
      </c>
      <c r="R303" s="4" t="n">
        <f aca="false">RANK(O303,$O$7:$O$307,1)</f>
        <v>279</v>
      </c>
      <c r="S303" s="4" t="n">
        <f aca="false">RANK(J303,$J$7:$J$307,0)</f>
        <v>296</v>
      </c>
      <c r="T303" s="4" t="str">
        <f aca="false">IF(O303&lt;0.05,"YES","no")</f>
        <v>no</v>
      </c>
      <c r="U303" s="4" t="str">
        <f aca="false">IF(P303&lt;0.05,"YES","no")</f>
        <v>no</v>
      </c>
      <c r="V303" s="4" t="str">
        <f aca="false">IF(N303&gt;1,"YES","no")</f>
        <v>no</v>
      </c>
    </row>
    <row r="304" customFormat="false" ht="15" hidden="false" customHeight="false" outlineLevel="0" collapsed="false">
      <c r="A304" s="4" t="s">
        <v>346</v>
      </c>
      <c r="B304" s="4"/>
      <c r="C304" s="4" t="s">
        <v>72</v>
      </c>
      <c r="D304" s="8" t="n">
        <v>487.34341</v>
      </c>
      <c r="E304" s="9" t="n">
        <v>4.214</v>
      </c>
      <c r="F304" s="10" t="n">
        <v>35604.795395932</v>
      </c>
      <c r="G304" s="10" t="n">
        <v>22546.3950889259</v>
      </c>
      <c r="H304" s="10" t="n">
        <v>42565.5043402208</v>
      </c>
      <c r="I304" s="10" t="n">
        <v>24099.147047123</v>
      </c>
      <c r="J304" s="10" t="n">
        <v>38768.7540069724</v>
      </c>
      <c r="K304" s="11" t="n">
        <v>1.19549919798399</v>
      </c>
      <c r="L304" s="11" t="n">
        <v>0.257613162199346</v>
      </c>
      <c r="M304" s="11" t="n">
        <v>0.162617302637582</v>
      </c>
      <c r="N304" s="11" t="n">
        <v>0.0113952375358753</v>
      </c>
      <c r="O304" s="12" t="n">
        <v>0.635927756514538</v>
      </c>
      <c r="P304" s="12" t="n">
        <v>0.800896463225423</v>
      </c>
      <c r="Q304" s="4" t="n">
        <f aca="false">RANK(N304,$N$7:$N$307,0)</f>
        <v>298</v>
      </c>
      <c r="R304" s="4" t="n">
        <f aca="false">RANK(O304,$O$7:$O$307,1)</f>
        <v>239</v>
      </c>
      <c r="S304" s="4" t="n">
        <f aca="false">RANK(J304,$J$7:$J$307,0)</f>
        <v>301</v>
      </c>
      <c r="T304" s="4" t="str">
        <f aca="false">IF(O304&lt;0.05,"YES","no")</f>
        <v>no</v>
      </c>
      <c r="U304" s="4" t="str">
        <f aca="false">IF(P304&lt;0.05,"YES","no")</f>
        <v>no</v>
      </c>
      <c r="V304" s="4" t="str">
        <f aca="false">IF(N304&gt;1,"YES","no")</f>
        <v>no</v>
      </c>
    </row>
    <row r="305" customFormat="false" ht="15" hidden="false" customHeight="false" outlineLevel="0" collapsed="false">
      <c r="A305" s="4" t="s">
        <v>344</v>
      </c>
      <c r="B305" s="4"/>
      <c r="C305" s="4" t="s">
        <v>72</v>
      </c>
      <c r="D305" s="8" t="n">
        <v>206.08088</v>
      </c>
      <c r="E305" s="9" t="n">
        <v>6.826</v>
      </c>
      <c r="F305" s="10" t="n">
        <v>145834.967269456</v>
      </c>
      <c r="G305" s="10" t="n">
        <v>72732.2960925354</v>
      </c>
      <c r="H305" s="10" t="n">
        <v>146269.89286638</v>
      </c>
      <c r="I305" s="10" t="n">
        <v>39965.4511013624</v>
      </c>
      <c r="J305" s="10" t="n">
        <v>146032.660722603</v>
      </c>
      <c r="K305" s="11" t="n">
        <v>1.0029823135361</v>
      </c>
      <c r="L305" s="11" t="n">
        <v>0.00429616587159018</v>
      </c>
      <c r="M305" s="11" t="n">
        <v>0.00396352543489689</v>
      </c>
      <c r="N305" s="11" t="n">
        <v>0.00942989040936036</v>
      </c>
      <c r="O305" s="12" t="n">
        <v>0.990295674865351</v>
      </c>
      <c r="P305" s="12" t="n">
        <v>0.991963397206317</v>
      </c>
      <c r="Q305" s="4" t="n">
        <f aca="false">RANK(N305,$N$7:$N$307,0)</f>
        <v>299</v>
      </c>
      <c r="R305" s="4" t="n">
        <f aca="false">RANK(O305,$O$7:$O$307,1)</f>
        <v>300</v>
      </c>
      <c r="S305" s="4" t="n">
        <f aca="false">RANK(J305,$J$7:$J$307,0)</f>
        <v>282</v>
      </c>
      <c r="T305" s="4" t="str">
        <f aca="false">IF(O305&lt;0.05,"YES","no")</f>
        <v>no</v>
      </c>
      <c r="U305" s="4" t="str">
        <f aca="false">IF(P305&lt;0.05,"YES","no")</f>
        <v>no</v>
      </c>
      <c r="V305" s="4" t="str">
        <f aca="false">IF(N305&gt;1,"YES","no")</f>
        <v>no</v>
      </c>
    </row>
    <row r="306" customFormat="false" ht="15" hidden="false" customHeight="false" outlineLevel="0" collapsed="false">
      <c r="A306" s="4" t="s">
        <v>413</v>
      </c>
      <c r="B306" s="4"/>
      <c r="C306" s="4" t="s">
        <v>72</v>
      </c>
      <c r="D306" s="8" t="n">
        <v>227.0674</v>
      </c>
      <c r="E306" s="9" t="n">
        <v>7.495</v>
      </c>
      <c r="F306" s="10" t="n">
        <v>126510.379274129</v>
      </c>
      <c r="G306" s="10" t="n">
        <v>107992.167786118</v>
      </c>
      <c r="H306" s="10" t="n">
        <v>137596.735918731</v>
      </c>
      <c r="I306" s="10" t="n">
        <v>138902.921492065</v>
      </c>
      <c r="J306" s="10" t="n">
        <v>131549.632294403</v>
      </c>
      <c r="K306" s="11" t="n">
        <v>1.08763199279151</v>
      </c>
      <c r="L306" s="11" t="n">
        <v>0.121190494102024</v>
      </c>
      <c r="M306" s="11" t="n">
        <v>0.0496783020090883</v>
      </c>
      <c r="N306" s="11" t="n">
        <v>0.00837998424107655</v>
      </c>
      <c r="O306" s="12" t="n">
        <v>0.888110728346862</v>
      </c>
      <c r="P306" s="12" t="n">
        <v>0.928199059834741</v>
      </c>
      <c r="Q306" s="4" t="n">
        <f aca="false">RANK(N306,$N$7:$N$307,0)</f>
        <v>300</v>
      </c>
      <c r="R306" s="4" t="n">
        <f aca="false">RANK(O306,$O$7:$O$307,1)</f>
        <v>288</v>
      </c>
      <c r="S306" s="4" t="n">
        <f aca="false">RANK(J306,$J$7:$J$307,0)</f>
        <v>284</v>
      </c>
      <c r="T306" s="4" t="str">
        <f aca="false">IF(O306&lt;0.05,"YES","no")</f>
        <v>no</v>
      </c>
      <c r="U306" s="4" t="str">
        <f aca="false">IF(P306&lt;0.05,"YES","no")</f>
        <v>no</v>
      </c>
      <c r="V306" s="4" t="str">
        <f aca="false">IF(N306&gt;1,"YES","no")</f>
        <v>no</v>
      </c>
    </row>
    <row r="307" customFormat="false" ht="15" hidden="false" customHeight="false" outlineLevel="0" collapsed="false">
      <c r="A307" s="4" t="s">
        <v>372</v>
      </c>
      <c r="B307" s="4"/>
      <c r="C307" s="4" t="s">
        <v>72</v>
      </c>
      <c r="D307" s="8" t="n">
        <v>243.06219</v>
      </c>
      <c r="E307" s="9" t="n">
        <v>9.435</v>
      </c>
      <c r="F307" s="10" t="n">
        <v>221701.290251689</v>
      </c>
      <c r="G307" s="10" t="n">
        <v>35317.1122662406</v>
      </c>
      <c r="H307" s="10" t="n">
        <v>220727.768483829</v>
      </c>
      <c r="I307" s="10" t="n">
        <v>25707.278652094</v>
      </c>
      <c r="J307" s="10" t="n">
        <v>221258.780357207</v>
      </c>
      <c r="K307" s="11" t="n">
        <v>0.995608858357322</v>
      </c>
      <c r="L307" s="11" t="n">
        <v>-0.00634902823723148</v>
      </c>
      <c r="M307" s="11" t="n">
        <v>0.0170585268399806</v>
      </c>
      <c r="N307" s="11" t="n">
        <v>0.00789944581441699</v>
      </c>
      <c r="O307" s="12" t="n">
        <v>0.959064892832769</v>
      </c>
      <c r="P307" s="12" t="n">
        <v>0.97198159172614</v>
      </c>
      <c r="Q307" s="4" t="n">
        <f aca="false">RANK(N307,$N$7:$N$307,0)</f>
        <v>301</v>
      </c>
      <c r="R307" s="4" t="n">
        <f aca="false">RANK(O307,$O$7:$O$307,1)</f>
        <v>297</v>
      </c>
      <c r="S307" s="4" t="n">
        <f aca="false">RANK(J307,$J$7:$J$307,0)</f>
        <v>272</v>
      </c>
      <c r="T307" s="4" t="str">
        <f aca="false">IF(O307&lt;0.05,"YES","no")</f>
        <v>no</v>
      </c>
      <c r="U307" s="4" t="str">
        <f aca="false">IF(P307&lt;0.05,"YES","no")</f>
        <v>no</v>
      </c>
      <c r="V307" s="4" t="str">
        <f aca="false">IF(N307&gt;1,"YES","no")</f>
        <v>no</v>
      </c>
    </row>
  </sheetData>
  <autoFilter ref="A6:V307"/>
  <conditionalFormatting sqref="O7:O307">
    <cfRule type="cellIs" priority="2" operator="lessThan" aboveAverage="0" equalAverage="0" bottom="0" percent="0" rank="0" text="" dxfId="5">
      <formula>0.05</formula>
    </cfRule>
  </conditionalFormatting>
  <conditionalFormatting sqref="P7:P307">
    <cfRule type="cellIs" priority="3" operator="lessThan" aboveAverage="0" equalAverage="0" bottom="0" percent="0" rank="0" text="" dxfId="6">
      <formula>0.05</formula>
    </cfRule>
  </conditionalFormatting>
  <conditionalFormatting sqref="N7:N307">
    <cfRule type="cellIs" priority="4" operator="greater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9" min="17" style="0" width="11"/>
    <col collapsed="false" customWidth="true" hidden="false" outlineLevel="0" max="21" min="20" style="0" width="12"/>
    <col collapsed="false" customWidth="true" hidden="false" outlineLevel="0" max="22" min="22" style="0" width="9"/>
  </cols>
  <sheetData>
    <row r="1" customFormat="false" ht="15" hidden="false" customHeight="false" outlineLevel="0" collapsed="false">
      <c r="A1" s="6" t="s">
        <v>419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416</v>
      </c>
    </row>
    <row r="4" customFormat="false" ht="15" hidden="false" customHeight="false" outlineLevel="0" collapsed="false">
      <c r="A4" s="2" t="s">
        <v>37</v>
      </c>
    </row>
    <row r="6" customFormat="false" ht="35.0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45</v>
      </c>
      <c r="I6" s="7" t="s">
        <v>46</v>
      </c>
      <c r="J6" s="7" t="s">
        <v>47</v>
      </c>
      <c r="K6" s="7" t="s">
        <v>48</v>
      </c>
      <c r="L6" s="7" t="s">
        <v>49</v>
      </c>
      <c r="M6" s="7" t="s">
        <v>50</v>
      </c>
      <c r="N6" s="7" t="s">
        <v>51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58</v>
      </c>
      <c r="V6" s="7" t="s">
        <v>10</v>
      </c>
    </row>
    <row r="7" customFormat="false" ht="15" hidden="false" customHeight="false" outlineLevel="0" collapsed="false">
      <c r="A7" s="4" t="s">
        <v>65</v>
      </c>
      <c r="B7" s="4"/>
      <c r="C7" s="4" t="s">
        <v>61</v>
      </c>
      <c r="D7" s="8" t="n">
        <v>118.08616</v>
      </c>
      <c r="E7" s="9" t="n">
        <v>10.135</v>
      </c>
      <c r="F7" s="10" t="n">
        <v>1601363877.76783</v>
      </c>
      <c r="G7" s="10" t="n">
        <v>98521385.0874937</v>
      </c>
      <c r="H7" s="10" t="n">
        <v>2305369709.26675</v>
      </c>
      <c r="I7" s="10" t="n">
        <v>715355698.845005</v>
      </c>
      <c r="J7" s="10" t="n">
        <v>1953366793.51729</v>
      </c>
      <c r="K7" s="11" t="n">
        <v>1.43962889463964</v>
      </c>
      <c r="L7" s="11" t="n">
        <v>0.525696963845804</v>
      </c>
      <c r="M7" s="11" t="n">
        <v>0.602641518735927</v>
      </c>
      <c r="N7" s="11" t="n">
        <v>7.33270858186062</v>
      </c>
      <c r="O7" s="12" t="n">
        <v>0.0606879792391156</v>
      </c>
      <c r="P7" s="12" t="n">
        <v>0.524192657755824</v>
      </c>
      <c r="Q7" s="4" t="n">
        <f aca="false">RANK(N7,$N$7:$N$307,0)</f>
        <v>1</v>
      </c>
      <c r="R7" s="4" t="n">
        <f aca="false">RANK(O7,$O$7:$O$307,1)</f>
        <v>34</v>
      </c>
      <c r="S7" s="4" t="n">
        <f aca="false">RANK(J7,$J$7:$J$307,0)</f>
        <v>4</v>
      </c>
      <c r="T7" s="4" t="str">
        <f aca="false">IF(O7&lt;0.05,"YES","no")</f>
        <v>no</v>
      </c>
      <c r="U7" s="4" t="str">
        <f aca="false">IF(P7&lt;0.05,"YES","no")</f>
        <v>no</v>
      </c>
      <c r="V7" s="4" t="str">
        <f aca="false">IF(N7&gt;1,"YES","no")</f>
        <v>YES</v>
      </c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8" t="n">
        <v>132.07663</v>
      </c>
      <c r="E8" s="9" t="n">
        <v>11.358</v>
      </c>
      <c r="F8" s="10" t="n">
        <v>3437052306.61107</v>
      </c>
      <c r="G8" s="10" t="n">
        <v>847464573.817245</v>
      </c>
      <c r="H8" s="10" t="n">
        <v>2748665621.50496</v>
      </c>
      <c r="I8" s="10" t="n">
        <v>196455194.868804</v>
      </c>
      <c r="J8" s="10" t="n">
        <v>3092858964.05801</v>
      </c>
      <c r="K8" s="11" t="n">
        <v>0.799715970635064</v>
      </c>
      <c r="L8" s="11" t="n">
        <v>-0.322440395530836</v>
      </c>
      <c r="M8" s="11" t="n">
        <v>0.522586762369697</v>
      </c>
      <c r="N8" s="11" t="n">
        <v>6.87050492080123</v>
      </c>
      <c r="O8" s="12" t="n">
        <v>0.104724587266537</v>
      </c>
      <c r="P8" s="12" t="n">
        <v>0.562894656557639</v>
      </c>
      <c r="Q8" s="4" t="n">
        <f aca="false">RANK(N8,$N$7:$N$307,0)</f>
        <v>2</v>
      </c>
      <c r="R8" s="4" t="n">
        <f aca="false">RANK(O8,$O$7:$O$307,1)</f>
        <v>56</v>
      </c>
      <c r="S8" s="4" t="n">
        <f aca="false">RANK(J8,$J$7:$J$307,0)</f>
        <v>2</v>
      </c>
      <c r="T8" s="4" t="str">
        <f aca="false">IF(O8&lt;0.05,"YES","no")</f>
        <v>no</v>
      </c>
      <c r="U8" s="4" t="str">
        <f aca="false">IF(P8&lt;0.05,"YES","no")</f>
        <v>no</v>
      </c>
      <c r="V8" s="4" t="str">
        <f aca="false">IF(N8&gt;1,"YES","no")</f>
        <v>YES</v>
      </c>
    </row>
    <row r="9" customFormat="false" ht="15" hidden="false" customHeight="false" outlineLevel="0" collapsed="false">
      <c r="A9" s="4" t="s">
        <v>62</v>
      </c>
      <c r="B9" s="4" t="s">
        <v>63</v>
      </c>
      <c r="C9" s="4" t="s">
        <v>61</v>
      </c>
      <c r="D9" s="8" t="n">
        <v>162.11233</v>
      </c>
      <c r="E9" s="9" t="n">
        <v>11.266</v>
      </c>
      <c r="F9" s="10" t="n">
        <v>7345087630.60529</v>
      </c>
      <c r="G9" s="10" t="n">
        <v>1092700353.18983</v>
      </c>
      <c r="H9" s="10" t="n">
        <v>7899422057.34386</v>
      </c>
      <c r="I9" s="10" t="n">
        <v>1309827595.40734</v>
      </c>
      <c r="J9" s="10" t="n">
        <v>7622254843.97458</v>
      </c>
      <c r="K9" s="11" t="n">
        <v>1.07547009029937</v>
      </c>
      <c r="L9" s="11" t="n">
        <v>0.104967402792779</v>
      </c>
      <c r="M9" s="11" t="n">
        <v>0.244110416674679</v>
      </c>
      <c r="N9" s="11" t="n">
        <v>6.32178610739082</v>
      </c>
      <c r="O9" s="12" t="n">
        <v>0.44508234231184</v>
      </c>
      <c r="P9" s="12" t="n">
        <v>0.779874320834923</v>
      </c>
      <c r="Q9" s="4" t="n">
        <f aca="false">RANK(N9,$N$7:$N$307,0)</f>
        <v>3</v>
      </c>
      <c r="R9" s="4" t="n">
        <f aca="false">RANK(O9,$O$7:$O$307,1)</f>
        <v>171</v>
      </c>
      <c r="S9" s="4" t="n">
        <f aca="false">RANK(J9,$J$7:$J$307,0)</f>
        <v>1</v>
      </c>
      <c r="T9" s="4" t="str">
        <f aca="false">IF(O9&lt;0.05,"YES","no")</f>
        <v>no</v>
      </c>
      <c r="U9" s="4" t="str">
        <f aca="false">IF(P9&lt;0.05,"YES","no")</f>
        <v>no</v>
      </c>
      <c r="V9" s="4" t="str">
        <f aca="false">IF(N9&gt;1,"YES","no")</f>
        <v>YES</v>
      </c>
    </row>
    <row r="10" customFormat="false" ht="15" hidden="false" customHeight="false" outlineLevel="0" collapsed="false">
      <c r="A10" s="4" t="s">
        <v>86</v>
      </c>
      <c r="B10" s="4"/>
      <c r="C10" s="4" t="s">
        <v>72</v>
      </c>
      <c r="D10" s="8" t="n">
        <v>258.11003</v>
      </c>
      <c r="E10" s="9" t="n">
        <v>11.271</v>
      </c>
      <c r="F10" s="10" t="n">
        <v>608606354.765367</v>
      </c>
      <c r="G10" s="10" t="n">
        <v>131379905.690666</v>
      </c>
      <c r="H10" s="10" t="n">
        <v>367584346.440786</v>
      </c>
      <c r="I10" s="10" t="n">
        <v>102996779.901573</v>
      </c>
      <c r="J10" s="10" t="n">
        <v>488095350.603076</v>
      </c>
      <c r="K10" s="11" t="n">
        <v>0.603977174346954</v>
      </c>
      <c r="L10" s="11" t="n">
        <v>-0.727434066990492</v>
      </c>
      <c r="M10" s="11" t="n">
        <v>0.74544484784969</v>
      </c>
      <c r="N10" s="11" t="n">
        <v>5.67855083916475</v>
      </c>
      <c r="O10" s="12" t="n">
        <v>0.00587109742851806</v>
      </c>
      <c r="P10" s="12" t="n">
        <v>0.4478778750797</v>
      </c>
      <c r="Q10" s="4" t="n">
        <f aca="false">RANK(N10,$N$7:$N$307,0)</f>
        <v>4</v>
      </c>
      <c r="R10" s="4" t="n">
        <f aca="false">RANK(O10,$O$7:$O$307,1)</f>
        <v>3</v>
      </c>
      <c r="S10" s="4" t="n">
        <f aca="false">RANK(J10,$J$7:$J$307,0)</f>
        <v>10</v>
      </c>
      <c r="T10" s="4" t="str">
        <f aca="false">IF(O10&lt;0.05,"YES","no")</f>
        <v>YES</v>
      </c>
      <c r="U10" s="4" t="str">
        <f aca="false">IF(P10&lt;0.05,"YES","no")</f>
        <v>no</v>
      </c>
      <c r="V10" s="4" t="str">
        <f aca="false">IF(N10&gt;1,"YES","no")</f>
        <v>YES</v>
      </c>
    </row>
    <row r="11" customFormat="false" ht="15" hidden="false" customHeight="false" outlineLevel="0" collapsed="false">
      <c r="A11" s="4" t="s">
        <v>76</v>
      </c>
      <c r="B11" s="4"/>
      <c r="C11" s="4" t="s">
        <v>72</v>
      </c>
      <c r="D11" s="8" t="n">
        <v>160.13315</v>
      </c>
      <c r="E11" s="9" t="n">
        <v>12.211</v>
      </c>
      <c r="F11" s="10" t="n">
        <v>560630153.134254</v>
      </c>
      <c r="G11" s="10" t="n">
        <v>76103341.0984225</v>
      </c>
      <c r="H11" s="10" t="n">
        <v>695915244.010178</v>
      </c>
      <c r="I11" s="10" t="n">
        <v>160343588.706324</v>
      </c>
      <c r="J11" s="10" t="n">
        <v>628272698.572216</v>
      </c>
      <c r="K11" s="11" t="n">
        <v>1.24130898083094</v>
      </c>
      <c r="L11" s="11" t="n">
        <v>0.311862269077492</v>
      </c>
      <c r="M11" s="11" t="n">
        <v>0.508414443428857</v>
      </c>
      <c r="N11" s="11" t="n">
        <v>2.99871304539547</v>
      </c>
      <c r="O11" s="12" t="n">
        <v>0.103277806461189</v>
      </c>
      <c r="P11" s="12" t="n">
        <v>0.562894656557639</v>
      </c>
      <c r="Q11" s="4" t="n">
        <f aca="false">RANK(N11,$N$7:$N$307,0)</f>
        <v>5</v>
      </c>
      <c r="R11" s="4" t="n">
        <f aca="false">RANK(O11,$O$7:$O$307,1)</f>
        <v>55</v>
      </c>
      <c r="S11" s="4" t="n">
        <f aca="false">RANK(J11,$J$7:$J$307,0)</f>
        <v>8</v>
      </c>
      <c r="T11" s="4" t="str">
        <f aca="false">IF(O11&lt;0.05,"YES","no")</f>
        <v>no</v>
      </c>
      <c r="U11" s="4" t="str">
        <f aca="false">IF(P11&lt;0.05,"YES","no")</f>
        <v>no</v>
      </c>
      <c r="V11" s="4" t="str">
        <f aca="false">IF(N11&gt;1,"YES","no")</f>
        <v>YES</v>
      </c>
    </row>
    <row r="12" customFormat="false" ht="15" hidden="false" customHeight="false" outlineLevel="0" collapsed="false">
      <c r="A12" s="4" t="s">
        <v>95</v>
      </c>
      <c r="B12" s="4"/>
      <c r="C12" s="4" t="s">
        <v>61</v>
      </c>
      <c r="D12" s="8" t="n">
        <v>146.11753</v>
      </c>
      <c r="E12" s="9" t="n">
        <v>11.962</v>
      </c>
      <c r="F12" s="10" t="n">
        <v>168055920.841984</v>
      </c>
      <c r="G12" s="10" t="n">
        <v>33151408.0570371</v>
      </c>
      <c r="H12" s="10" t="n">
        <v>281488034.947894</v>
      </c>
      <c r="I12" s="10" t="n">
        <v>133107453.25444</v>
      </c>
      <c r="J12" s="10" t="n">
        <v>224771977.894939</v>
      </c>
      <c r="K12" s="11" t="n">
        <v>1.67496648459393</v>
      </c>
      <c r="L12" s="11" t="n">
        <v>0.744132228111375</v>
      </c>
      <c r="M12" s="11" t="n">
        <v>0.539371578050318</v>
      </c>
      <c r="N12" s="11" t="n">
        <v>2.8131327103558</v>
      </c>
      <c r="O12" s="12" t="n">
        <v>0.09243127073204</v>
      </c>
      <c r="P12" s="12" t="n">
        <v>0.545525735104785</v>
      </c>
      <c r="Q12" s="4" t="n">
        <f aca="false">RANK(N12,$N$7:$N$307,0)</f>
        <v>6</v>
      </c>
      <c r="R12" s="4" t="n">
        <f aca="false">RANK(O12,$O$7:$O$307,1)</f>
        <v>51</v>
      </c>
      <c r="S12" s="4" t="n">
        <f aca="false">RANK(J12,$J$7:$J$307,0)</f>
        <v>17</v>
      </c>
      <c r="T12" s="4" t="str">
        <f aca="false">IF(O12&lt;0.05,"YES","no")</f>
        <v>no</v>
      </c>
      <c r="U12" s="4" t="str">
        <f aca="false">IF(P12&lt;0.05,"YES","no")</f>
        <v>no</v>
      </c>
      <c r="V12" s="4" t="str">
        <f aca="false">IF(N12&gt;1,"YES","no")</f>
        <v>YES</v>
      </c>
    </row>
    <row r="13" customFormat="false" ht="15" hidden="false" customHeight="false" outlineLevel="0" collapsed="false">
      <c r="A13" s="4" t="s">
        <v>127</v>
      </c>
      <c r="B13" s="4"/>
      <c r="C13" s="4" t="s">
        <v>61</v>
      </c>
      <c r="D13" s="8" t="n">
        <v>133.01415</v>
      </c>
      <c r="E13" s="9" t="n">
        <v>10.102</v>
      </c>
      <c r="F13" s="10" t="n">
        <v>264785387.700826</v>
      </c>
      <c r="G13" s="10" t="n">
        <v>111790827.746143</v>
      </c>
      <c r="H13" s="10" t="n">
        <v>182543143.388231</v>
      </c>
      <c r="I13" s="10" t="n">
        <v>75061233.6591686</v>
      </c>
      <c r="J13" s="10" t="n">
        <v>223664265.544528</v>
      </c>
      <c r="K13" s="11" t="n">
        <v>0.689400366739578</v>
      </c>
      <c r="L13" s="11" t="n">
        <v>-0.536586028713032</v>
      </c>
      <c r="M13" s="11" t="n">
        <v>0.427656770764884</v>
      </c>
      <c r="N13" s="11" t="n">
        <v>2.76611858877654</v>
      </c>
      <c r="O13" s="12" t="n">
        <v>0.169813391278957</v>
      </c>
      <c r="P13" s="12" t="n">
        <v>0.59081559788972</v>
      </c>
      <c r="Q13" s="4" t="n">
        <f aca="false">RANK(N13,$N$7:$N$307,0)</f>
        <v>7</v>
      </c>
      <c r="R13" s="4" t="n">
        <f aca="false">RANK(O13,$O$7:$O$307,1)</f>
        <v>84</v>
      </c>
      <c r="S13" s="4" t="n">
        <f aca="false">RANK(J13,$J$7:$J$307,0)</f>
        <v>18</v>
      </c>
      <c r="T13" s="4" t="str">
        <f aca="false">IF(O13&lt;0.05,"YES","no")</f>
        <v>no</v>
      </c>
      <c r="U13" s="4" t="str">
        <f aca="false">IF(P13&lt;0.05,"YES","no")</f>
        <v>no</v>
      </c>
      <c r="V13" s="4" t="str">
        <f aca="false">IF(N13&gt;1,"YES","no")</f>
        <v>YES</v>
      </c>
    </row>
    <row r="14" customFormat="false" ht="15" hidden="false" customHeight="false" outlineLevel="0" collapsed="false">
      <c r="A14" s="4" t="s">
        <v>125</v>
      </c>
      <c r="B14" s="4"/>
      <c r="C14" s="4" t="s">
        <v>61</v>
      </c>
      <c r="D14" s="8" t="n">
        <v>171.00639</v>
      </c>
      <c r="E14" s="9" t="n">
        <v>9.574</v>
      </c>
      <c r="F14" s="10" t="n">
        <v>74705719.3879984</v>
      </c>
      <c r="G14" s="10" t="n">
        <v>55240317.6178382</v>
      </c>
      <c r="H14" s="10" t="n">
        <v>170770697.001092</v>
      </c>
      <c r="I14" s="10" t="n">
        <v>86534008.9566685</v>
      </c>
      <c r="J14" s="10" t="n">
        <v>122738208.194545</v>
      </c>
      <c r="K14" s="11" t="n">
        <v>2.28591195426633</v>
      </c>
      <c r="L14" s="11" t="n">
        <v>1.1927698368028</v>
      </c>
      <c r="M14" s="11" t="n">
        <v>0.586870189674345</v>
      </c>
      <c r="N14" s="11" t="n">
        <v>2.65590014539141</v>
      </c>
      <c r="O14" s="12" t="n">
        <v>0.0492668131675004</v>
      </c>
      <c r="P14" s="12" t="n">
        <v>0.478364863336053</v>
      </c>
      <c r="Q14" s="4" t="n">
        <f aca="false">RANK(N14,$N$7:$N$307,0)</f>
        <v>8</v>
      </c>
      <c r="R14" s="4" t="n">
        <f aca="false">RANK(O14,$O$7:$O$307,1)</f>
        <v>31</v>
      </c>
      <c r="S14" s="4" t="n">
        <f aca="false">RANK(J14,$J$7:$J$307,0)</f>
        <v>26</v>
      </c>
      <c r="T14" s="4" t="str">
        <f aca="false">IF(O14&lt;0.05,"YES","no")</f>
        <v>YES</v>
      </c>
      <c r="U14" s="4" t="str">
        <f aca="false">IF(P14&lt;0.05,"YES","no")</f>
        <v>no</v>
      </c>
      <c r="V14" s="4" t="str">
        <f aca="false">IF(N14&gt;1,"YES","no")</f>
        <v>YES</v>
      </c>
    </row>
    <row r="15" customFormat="false" ht="15" hidden="false" customHeight="false" outlineLevel="0" collapsed="false">
      <c r="A15" s="4" t="s">
        <v>66</v>
      </c>
      <c r="B15" s="4"/>
      <c r="C15" s="4" t="s">
        <v>61</v>
      </c>
      <c r="D15" s="8" t="n">
        <v>147.07637</v>
      </c>
      <c r="E15" s="9" t="n">
        <v>11.11</v>
      </c>
      <c r="F15" s="10" t="n">
        <v>386001508.798231</v>
      </c>
      <c r="G15" s="10" t="n">
        <v>49532539.3300303</v>
      </c>
      <c r="H15" s="10" t="n">
        <v>481039153.077675</v>
      </c>
      <c r="I15" s="10" t="n">
        <v>172578314.610936</v>
      </c>
      <c r="J15" s="10" t="n">
        <v>433520330.937953</v>
      </c>
      <c r="K15" s="11" t="n">
        <v>1.2462105512886</v>
      </c>
      <c r="L15" s="11" t="n">
        <v>0.317547836931533</v>
      </c>
      <c r="M15" s="11" t="n">
        <v>0.379362123831684</v>
      </c>
      <c r="N15" s="11" t="n">
        <v>2.31590606696703</v>
      </c>
      <c r="O15" s="12" t="n">
        <v>0.243824243163725</v>
      </c>
      <c r="P15" s="12" t="n">
        <v>0.649478736214878</v>
      </c>
      <c r="Q15" s="4" t="n">
        <f aca="false">RANK(N15,$N$7:$N$307,0)</f>
        <v>9</v>
      </c>
      <c r="R15" s="4" t="n">
        <f aca="false">RANK(O15,$O$7:$O$307,1)</f>
        <v>113</v>
      </c>
      <c r="S15" s="4" t="n">
        <f aca="false">RANK(J15,$J$7:$J$307,0)</f>
        <v>11</v>
      </c>
      <c r="T15" s="4" t="str">
        <f aca="false">IF(O15&lt;0.05,"YES","no")</f>
        <v>no</v>
      </c>
      <c r="U15" s="4" t="str">
        <f aca="false">IF(P15&lt;0.05,"YES","no")</f>
        <v>no</v>
      </c>
      <c r="V15" s="4" t="str">
        <f aca="false">IF(N15&gt;1,"YES","no")</f>
        <v>YES</v>
      </c>
    </row>
    <row r="16" customFormat="false" ht="15" hidden="false" customHeight="false" outlineLevel="0" collapsed="false">
      <c r="A16" s="4" t="s">
        <v>91</v>
      </c>
      <c r="B16" s="4" t="s">
        <v>92</v>
      </c>
      <c r="C16" s="4" t="s">
        <v>61</v>
      </c>
      <c r="D16" s="8" t="n">
        <v>308.09115</v>
      </c>
      <c r="E16" s="9" t="n">
        <v>9.381</v>
      </c>
      <c r="F16" s="10" t="n">
        <v>89683688.4941914</v>
      </c>
      <c r="G16" s="10" t="n">
        <v>19533517.575641</v>
      </c>
      <c r="H16" s="10" t="n">
        <v>148517852.283661</v>
      </c>
      <c r="I16" s="10" t="n">
        <v>53354426.5879077</v>
      </c>
      <c r="J16" s="10" t="n">
        <v>119100770.388926</v>
      </c>
      <c r="K16" s="11" t="n">
        <v>1.65601855562932</v>
      </c>
      <c r="L16" s="11" t="n">
        <v>0.727718838274692</v>
      </c>
      <c r="M16" s="11" t="n">
        <v>0.625687183236627</v>
      </c>
      <c r="N16" s="11" t="n">
        <v>2.15956757951272</v>
      </c>
      <c r="O16" s="12" t="n">
        <v>0.0423720908487357</v>
      </c>
      <c r="P16" s="12" t="n">
        <v>0.478364863336053</v>
      </c>
      <c r="Q16" s="4" t="n">
        <f aca="false">RANK(N16,$N$7:$N$307,0)</f>
        <v>10</v>
      </c>
      <c r="R16" s="4" t="n">
        <f aca="false">RANK(O16,$O$7:$O$307,1)</f>
        <v>25</v>
      </c>
      <c r="S16" s="4" t="n">
        <f aca="false">RANK(J16,$J$7:$J$307,0)</f>
        <v>27</v>
      </c>
      <c r="T16" s="4" t="str">
        <f aca="false">IF(O16&lt;0.05,"YES","no")</f>
        <v>YES</v>
      </c>
      <c r="U16" s="4" t="str">
        <f aca="false">IF(P16&lt;0.05,"YES","no")</f>
        <v>no</v>
      </c>
      <c r="V16" s="4" t="str">
        <f aca="false">IF(N16&gt;1,"YES","no")</f>
        <v>YES</v>
      </c>
    </row>
    <row r="17" customFormat="false" ht="15" hidden="false" customHeight="false" outlineLevel="0" collapsed="false">
      <c r="A17" s="4" t="s">
        <v>64</v>
      </c>
      <c r="B17" s="4"/>
      <c r="C17" s="4" t="s">
        <v>61</v>
      </c>
      <c r="D17" s="8" t="n">
        <v>204.12298</v>
      </c>
      <c r="E17" s="9" t="n">
        <v>10.121</v>
      </c>
      <c r="F17" s="10" t="n">
        <v>2229889727.89939</v>
      </c>
      <c r="G17" s="10" t="n">
        <v>950941874.370466</v>
      </c>
      <c r="H17" s="10" t="n">
        <v>2107934476.00318</v>
      </c>
      <c r="I17" s="10" t="n">
        <v>826836019.800726</v>
      </c>
      <c r="J17" s="10" t="n">
        <v>2168912101.95129</v>
      </c>
      <c r="K17" s="11" t="n">
        <v>0.94530884179143</v>
      </c>
      <c r="L17" s="11" t="n">
        <v>-0.0811423457358639</v>
      </c>
      <c r="M17" s="11" t="n">
        <v>0.0747551411608529</v>
      </c>
      <c r="N17" s="11" t="n">
        <v>2.08091148758935</v>
      </c>
      <c r="O17" s="12" t="n">
        <v>0.817487031733039</v>
      </c>
      <c r="P17" s="12" t="n">
        <v>0.923481941786446</v>
      </c>
      <c r="Q17" s="4" t="n">
        <f aca="false">RANK(N17,$N$7:$N$307,0)</f>
        <v>11</v>
      </c>
      <c r="R17" s="4" t="n">
        <f aca="false">RANK(O17,$O$7:$O$307,1)</f>
        <v>264</v>
      </c>
      <c r="S17" s="4" t="n">
        <f aca="false">RANK(J17,$J$7:$J$307,0)</f>
        <v>3</v>
      </c>
      <c r="T17" s="4" t="str">
        <f aca="false">IF(O17&lt;0.05,"YES","no")</f>
        <v>no</v>
      </c>
      <c r="U17" s="4" t="str">
        <f aca="false">IF(P17&lt;0.05,"YES","no")</f>
        <v>no</v>
      </c>
      <c r="V17" s="4" t="str">
        <f aca="false">IF(N17&gt;1,"YES","no")</f>
        <v>YES</v>
      </c>
    </row>
    <row r="18" customFormat="false" ht="15" hidden="false" customHeight="false" outlineLevel="0" collapsed="false">
      <c r="A18" s="4" t="s">
        <v>67</v>
      </c>
      <c r="B18" s="4" t="s">
        <v>68</v>
      </c>
      <c r="C18" s="4" t="s">
        <v>61</v>
      </c>
      <c r="D18" s="8" t="n">
        <v>126.0218</v>
      </c>
      <c r="E18" s="9" t="n">
        <v>10.855</v>
      </c>
      <c r="F18" s="10" t="n">
        <v>865811550.434924</v>
      </c>
      <c r="G18" s="10" t="n">
        <v>157690592.071984</v>
      </c>
      <c r="H18" s="10" t="n">
        <v>931647910.865873</v>
      </c>
      <c r="I18" s="10" t="n">
        <v>252325095.452232</v>
      </c>
      <c r="J18" s="10" t="n">
        <v>898729730.650398</v>
      </c>
      <c r="K18" s="11" t="n">
        <v>1.07604005790623</v>
      </c>
      <c r="L18" s="11" t="n">
        <v>0.105731786321063</v>
      </c>
      <c r="M18" s="11" t="n">
        <v>0.168926973538432</v>
      </c>
      <c r="N18" s="11" t="n">
        <v>2.07521536980639</v>
      </c>
      <c r="O18" s="12" t="n">
        <v>0.601926263755371</v>
      </c>
      <c r="P18" s="12" t="n">
        <v>0.862760978049366</v>
      </c>
      <c r="Q18" s="4" t="n">
        <f aca="false">RANK(N18,$N$7:$N$307,0)</f>
        <v>12</v>
      </c>
      <c r="R18" s="4" t="n">
        <f aca="false">RANK(O18,$O$7:$O$307,1)</f>
        <v>210</v>
      </c>
      <c r="S18" s="4" t="n">
        <f aca="false">RANK(J18,$J$7:$J$307,0)</f>
        <v>5</v>
      </c>
      <c r="T18" s="4" t="str">
        <f aca="false">IF(O18&lt;0.05,"YES","no")</f>
        <v>no</v>
      </c>
      <c r="U18" s="4" t="str">
        <f aca="false">IF(P18&lt;0.05,"YES","no")</f>
        <v>no</v>
      </c>
      <c r="V18" s="4" t="str">
        <f aca="false">IF(N18&gt;1,"YES","no")</f>
        <v>YES</v>
      </c>
    </row>
    <row r="19" customFormat="false" ht="15" hidden="false" customHeight="false" outlineLevel="0" collapsed="false">
      <c r="A19" s="4" t="s">
        <v>97</v>
      </c>
      <c r="B19" s="4" t="s">
        <v>98</v>
      </c>
      <c r="C19" s="4" t="s">
        <v>72</v>
      </c>
      <c r="D19" s="8" t="n">
        <v>218.13866</v>
      </c>
      <c r="E19" s="9" t="n">
        <v>9.458</v>
      </c>
      <c r="F19" s="10" t="n">
        <v>263173925.210802</v>
      </c>
      <c r="G19" s="10" t="n">
        <v>134186387.459625</v>
      </c>
      <c r="H19" s="10" t="n">
        <v>308167278.872168</v>
      </c>
      <c r="I19" s="10" t="n">
        <v>124298850.403419</v>
      </c>
      <c r="J19" s="10" t="n">
        <v>285670602.041485</v>
      </c>
      <c r="K19" s="11" t="n">
        <v>1.17096432948411</v>
      </c>
      <c r="L19" s="11" t="n">
        <v>0.227697128392331</v>
      </c>
      <c r="M19" s="11" t="n">
        <v>0.187172421609169</v>
      </c>
      <c r="N19" s="11" t="n">
        <v>1.87771328913156</v>
      </c>
      <c r="O19" s="12" t="n">
        <v>0.560306111100207</v>
      </c>
      <c r="P19" s="12" t="n">
        <v>0.832892828813901</v>
      </c>
      <c r="Q19" s="4" t="n">
        <f aca="false">RANK(N19,$N$7:$N$307,0)</f>
        <v>13</v>
      </c>
      <c r="R19" s="4" t="n">
        <f aca="false">RANK(O19,$O$7:$O$307,1)</f>
        <v>202</v>
      </c>
      <c r="S19" s="4" t="n">
        <f aca="false">RANK(J19,$J$7:$J$307,0)</f>
        <v>15</v>
      </c>
      <c r="T19" s="4" t="str">
        <f aca="false">IF(O19&lt;0.05,"YES","no")</f>
        <v>no</v>
      </c>
      <c r="U19" s="4" t="str">
        <f aca="false">IF(P19&lt;0.05,"YES","no")</f>
        <v>no</v>
      </c>
      <c r="V19" s="4" t="str">
        <f aca="false">IF(N19&gt;1,"YES","no")</f>
        <v>YES</v>
      </c>
    </row>
    <row r="20" customFormat="false" ht="15" hidden="false" customHeight="false" outlineLevel="0" collapsed="false">
      <c r="A20" s="4" t="s">
        <v>183</v>
      </c>
      <c r="B20" s="4"/>
      <c r="C20" s="4" t="s">
        <v>72</v>
      </c>
      <c r="D20" s="8" t="n">
        <v>496.33971</v>
      </c>
      <c r="E20" s="9" t="n">
        <v>4.961</v>
      </c>
      <c r="F20" s="10" t="n">
        <v>182576479.781632</v>
      </c>
      <c r="G20" s="10" t="n">
        <v>66188936.7298519</v>
      </c>
      <c r="H20" s="10" t="n">
        <v>139652692.879905</v>
      </c>
      <c r="I20" s="10" t="n">
        <v>22338783.4142746</v>
      </c>
      <c r="J20" s="10" t="n">
        <v>161114586.330769</v>
      </c>
      <c r="K20" s="11" t="n">
        <v>0.764899690512897</v>
      </c>
      <c r="L20" s="11" t="n">
        <v>-0.386657530726859</v>
      </c>
      <c r="M20" s="11" t="n">
        <v>0.42975864091822</v>
      </c>
      <c r="N20" s="11" t="n">
        <v>1.84300544856094</v>
      </c>
      <c r="O20" s="12" t="n">
        <v>0.182016582324537</v>
      </c>
      <c r="P20" s="12" t="n">
        <v>0.59081559788972</v>
      </c>
      <c r="Q20" s="4" t="n">
        <f aca="false">RANK(N20,$N$7:$N$307,0)</f>
        <v>14</v>
      </c>
      <c r="R20" s="4" t="n">
        <f aca="false">RANK(O20,$O$7:$O$307,1)</f>
        <v>92</v>
      </c>
      <c r="S20" s="4" t="n">
        <f aca="false">RANK(J20,$J$7:$J$307,0)</f>
        <v>21</v>
      </c>
      <c r="T20" s="4" t="str">
        <f aca="false">IF(O20&lt;0.05,"YES","no")</f>
        <v>no</v>
      </c>
      <c r="U20" s="4" t="str">
        <f aca="false">IF(P20&lt;0.05,"YES","no")</f>
        <v>no</v>
      </c>
      <c r="V20" s="4" t="str">
        <f aca="false">IF(N20&gt;1,"YES","no")</f>
        <v>YES</v>
      </c>
    </row>
    <row r="21" customFormat="false" ht="15" hidden="false" customHeight="false" outlineLevel="0" collapsed="false">
      <c r="A21" s="4" t="s">
        <v>70</v>
      </c>
      <c r="B21" s="4" t="s">
        <v>71</v>
      </c>
      <c r="C21" s="4" t="s">
        <v>72</v>
      </c>
      <c r="D21" s="8" t="n">
        <v>89.02433</v>
      </c>
      <c r="E21" s="9" t="n">
        <v>7.221</v>
      </c>
      <c r="F21" s="10" t="n">
        <v>829840482.596878</v>
      </c>
      <c r="G21" s="10" t="n">
        <v>227289212.916211</v>
      </c>
      <c r="H21" s="10" t="n">
        <v>880914442.383431</v>
      </c>
      <c r="I21" s="10" t="n">
        <v>248826868.35677</v>
      </c>
      <c r="J21" s="10" t="n">
        <v>855377462.490155</v>
      </c>
      <c r="K21" s="11" t="n">
        <v>1.06154671995119</v>
      </c>
      <c r="L21" s="11" t="n">
        <v>0.0861678673889702</v>
      </c>
      <c r="M21" s="11" t="n">
        <v>0.116590033575425</v>
      </c>
      <c r="N21" s="11" t="n">
        <v>1.73601675995601</v>
      </c>
      <c r="O21" s="12" t="n">
        <v>0.718278303110057</v>
      </c>
      <c r="P21" s="12" t="n">
        <v>0.89567378165876</v>
      </c>
      <c r="Q21" s="4" t="n">
        <f aca="false">RANK(N21,$N$7:$N$307,0)</f>
        <v>15</v>
      </c>
      <c r="R21" s="4" t="n">
        <f aca="false">RANK(O21,$O$7:$O$307,1)</f>
        <v>241</v>
      </c>
      <c r="S21" s="4" t="n">
        <f aca="false">RANK(J21,$J$7:$J$307,0)</f>
        <v>6</v>
      </c>
      <c r="T21" s="4" t="str">
        <f aca="false">IF(O21&lt;0.05,"YES","no")</f>
        <v>no</v>
      </c>
      <c r="U21" s="4" t="str">
        <f aca="false">IF(P21&lt;0.05,"YES","no")</f>
        <v>no</v>
      </c>
      <c r="V21" s="4" t="str">
        <f aca="false">IF(N21&gt;1,"YES","no")</f>
        <v>YES</v>
      </c>
    </row>
    <row r="22" customFormat="false" ht="15" hidden="false" customHeight="false" outlineLevel="0" collapsed="false">
      <c r="A22" s="4" t="s">
        <v>102</v>
      </c>
      <c r="B22" s="4"/>
      <c r="C22" s="4" t="s">
        <v>61</v>
      </c>
      <c r="D22" s="8" t="n">
        <v>114.06614</v>
      </c>
      <c r="E22" s="9" t="n">
        <v>8.762</v>
      </c>
      <c r="F22" s="10" t="n">
        <v>152517361.728702</v>
      </c>
      <c r="G22" s="10" t="n">
        <v>65663627.694313</v>
      </c>
      <c r="H22" s="10" t="n">
        <v>110406734.431103</v>
      </c>
      <c r="I22" s="10" t="n">
        <v>10055607.4668059</v>
      </c>
      <c r="J22" s="10" t="n">
        <v>131462048.079902</v>
      </c>
      <c r="K22" s="11" t="n">
        <v>0.723896172735368</v>
      </c>
      <c r="L22" s="11" t="n">
        <v>-0.466145306172012</v>
      </c>
      <c r="M22" s="11" t="n">
        <v>0.440761335893982</v>
      </c>
      <c r="N22" s="11" t="n">
        <v>1.6138897628682</v>
      </c>
      <c r="O22" s="12" t="n">
        <v>0.178589670295046</v>
      </c>
      <c r="P22" s="12" t="n">
        <v>0.59081559788972</v>
      </c>
      <c r="Q22" s="4" t="n">
        <f aca="false">RANK(N22,$N$7:$N$307,0)</f>
        <v>16</v>
      </c>
      <c r="R22" s="4" t="n">
        <f aca="false">RANK(O22,$O$7:$O$307,1)</f>
        <v>89</v>
      </c>
      <c r="S22" s="4" t="n">
        <f aca="false">RANK(J22,$J$7:$J$307,0)</f>
        <v>24</v>
      </c>
      <c r="T22" s="4" t="str">
        <f aca="false">IF(O22&lt;0.05,"YES","no")</f>
        <v>no</v>
      </c>
      <c r="U22" s="4" t="str">
        <f aca="false">IF(P22&lt;0.05,"YES","no")</f>
        <v>no</v>
      </c>
      <c r="V22" s="4" t="str">
        <f aca="false">IF(N22&gt;1,"YES","no")</f>
        <v>YES</v>
      </c>
    </row>
    <row r="23" customFormat="false" ht="15" hidden="false" customHeight="false" outlineLevel="0" collapsed="false">
      <c r="A23" s="4" t="s">
        <v>138</v>
      </c>
      <c r="B23" s="4"/>
      <c r="C23" s="4" t="s">
        <v>61</v>
      </c>
      <c r="D23" s="8" t="n">
        <v>179.0561</v>
      </c>
      <c r="E23" s="9" t="n">
        <v>11.841</v>
      </c>
      <c r="F23" s="10" t="n">
        <v>74148098.0406047</v>
      </c>
      <c r="G23" s="10" t="n">
        <v>7680258.33786946</v>
      </c>
      <c r="H23" s="10" t="n">
        <v>54446365.7842883</v>
      </c>
      <c r="I23" s="10" t="n">
        <v>11366100.5426921</v>
      </c>
      <c r="J23" s="10" t="n">
        <v>64297231.9124465</v>
      </c>
      <c r="K23" s="11" t="n">
        <v>0.734292142658503</v>
      </c>
      <c r="L23" s="11" t="n">
        <v>-0.44557393248541</v>
      </c>
      <c r="M23" s="11" t="n">
        <v>0.743709131067209</v>
      </c>
      <c r="N23" s="11" t="n">
        <v>1.58960997796175</v>
      </c>
      <c r="O23" s="12" t="n">
        <v>0.00679534508074774</v>
      </c>
      <c r="P23" s="12" t="n">
        <v>0.4478778750797</v>
      </c>
      <c r="Q23" s="4" t="n">
        <f aca="false">RANK(N23,$N$7:$N$307,0)</f>
        <v>17</v>
      </c>
      <c r="R23" s="4" t="n">
        <f aca="false">RANK(O23,$O$7:$O$307,1)</f>
        <v>4</v>
      </c>
      <c r="S23" s="4" t="n">
        <f aca="false">RANK(J23,$J$7:$J$307,0)</f>
        <v>36</v>
      </c>
      <c r="T23" s="4" t="str">
        <f aca="false">IF(O23&lt;0.05,"YES","no")</f>
        <v>YES</v>
      </c>
      <c r="U23" s="4" t="str">
        <f aca="false">IF(P23&lt;0.05,"YES","no")</f>
        <v>no</v>
      </c>
      <c r="V23" s="4" t="str">
        <f aca="false">IF(N23&gt;1,"YES","no")</f>
        <v>YES</v>
      </c>
    </row>
    <row r="24" customFormat="false" ht="15" hidden="false" customHeight="false" outlineLevel="0" collapsed="false">
      <c r="A24" s="4" t="s">
        <v>173</v>
      </c>
      <c r="B24" s="4" t="s">
        <v>174</v>
      </c>
      <c r="C24" s="4" t="s">
        <v>61</v>
      </c>
      <c r="D24" s="8" t="n">
        <v>505.98835</v>
      </c>
      <c r="E24" s="9" t="n">
        <v>10.116</v>
      </c>
      <c r="F24" s="10" t="n">
        <v>71212168.7871115</v>
      </c>
      <c r="G24" s="10" t="n">
        <v>27744874.7811132</v>
      </c>
      <c r="H24" s="10" t="n">
        <v>50359828.4039996</v>
      </c>
      <c r="I24" s="10" t="n">
        <v>40118057.7501356</v>
      </c>
      <c r="J24" s="10" t="n">
        <v>60785998.5955556</v>
      </c>
      <c r="K24" s="11" t="n">
        <v>0.707180096628571</v>
      </c>
      <c r="L24" s="11" t="n">
        <v>-0.499850423805266</v>
      </c>
      <c r="M24" s="11" t="n">
        <v>0.314353197420553</v>
      </c>
      <c r="N24" s="11" t="n">
        <v>1.58318502876509</v>
      </c>
      <c r="O24" s="12" t="n">
        <v>0.322654355081181</v>
      </c>
      <c r="P24" s="12" t="n">
        <v>0.674437228329412</v>
      </c>
      <c r="Q24" s="4" t="n">
        <f aca="false">RANK(N24,$N$7:$N$307,0)</f>
        <v>18</v>
      </c>
      <c r="R24" s="4" t="n">
        <f aca="false">RANK(O24,$O$7:$O$307,1)</f>
        <v>144</v>
      </c>
      <c r="S24" s="4" t="n">
        <f aca="false">RANK(J24,$J$7:$J$307,0)</f>
        <v>40</v>
      </c>
      <c r="T24" s="4" t="str">
        <f aca="false">IF(O24&lt;0.05,"YES","no")</f>
        <v>no</v>
      </c>
      <c r="U24" s="4" t="str">
        <f aca="false">IF(P24&lt;0.05,"YES","no")</f>
        <v>no</v>
      </c>
      <c r="V24" s="4" t="str">
        <f aca="false">IF(N24&gt;1,"YES","no")</f>
        <v>YES</v>
      </c>
    </row>
    <row r="25" customFormat="false" ht="15" hidden="false" customHeight="false" outlineLevel="0" collapsed="false">
      <c r="A25" s="4" t="s">
        <v>69</v>
      </c>
      <c r="B25" s="4"/>
      <c r="C25" s="4" t="s">
        <v>61</v>
      </c>
      <c r="D25" s="8" t="n">
        <v>123.05518</v>
      </c>
      <c r="E25" s="9" t="n">
        <v>6.893</v>
      </c>
      <c r="F25" s="10" t="n">
        <v>646530747.518816</v>
      </c>
      <c r="G25" s="10" t="n">
        <v>49672714.0163147</v>
      </c>
      <c r="H25" s="10" t="n">
        <v>680554918.45331</v>
      </c>
      <c r="I25" s="10" t="n">
        <v>114007575.70542</v>
      </c>
      <c r="J25" s="10" t="n">
        <v>663542832.986063</v>
      </c>
      <c r="K25" s="11" t="n">
        <v>1.05262575842691</v>
      </c>
      <c r="L25" s="11" t="n">
        <v>0.0739926040475186</v>
      </c>
      <c r="M25" s="11" t="n">
        <v>0.207322593227173</v>
      </c>
      <c r="N25" s="11" t="n">
        <v>1.54722362937567</v>
      </c>
      <c r="O25" s="12" t="n">
        <v>0.524743720493809</v>
      </c>
      <c r="P25" s="12" t="n">
        <v>0.822774226010826</v>
      </c>
      <c r="Q25" s="4" t="n">
        <f aca="false">RANK(N25,$N$7:$N$307,0)</f>
        <v>19</v>
      </c>
      <c r="R25" s="4" t="n">
        <f aca="false">RANK(O25,$O$7:$O$307,1)</f>
        <v>191</v>
      </c>
      <c r="S25" s="4" t="n">
        <f aca="false">RANK(J25,$J$7:$J$307,0)</f>
        <v>7</v>
      </c>
      <c r="T25" s="4" t="str">
        <f aca="false">IF(O25&lt;0.05,"YES","no")</f>
        <v>no</v>
      </c>
      <c r="U25" s="4" t="str">
        <f aca="false">IF(P25&lt;0.05,"YES","no")</f>
        <v>no</v>
      </c>
      <c r="V25" s="4" t="str">
        <f aca="false">IF(N25&gt;1,"YES","no")</f>
        <v>YES</v>
      </c>
    </row>
    <row r="26" customFormat="false" ht="15" hidden="false" customHeight="false" outlineLevel="0" collapsed="false">
      <c r="A26" s="4" t="s">
        <v>75</v>
      </c>
      <c r="B26" s="4"/>
      <c r="C26" s="4" t="s">
        <v>61</v>
      </c>
      <c r="D26" s="8" t="n">
        <v>348.07036</v>
      </c>
      <c r="E26" s="9" t="n">
        <v>9.071</v>
      </c>
      <c r="F26" s="10" t="n">
        <v>269074827.598258</v>
      </c>
      <c r="G26" s="10" t="n">
        <v>37852082.5235701</v>
      </c>
      <c r="H26" s="10" t="n">
        <v>307503404.086858</v>
      </c>
      <c r="I26" s="10" t="n">
        <v>71792327.46649</v>
      </c>
      <c r="J26" s="10" t="n">
        <v>288289115.842558</v>
      </c>
      <c r="K26" s="11" t="n">
        <v>1.14281743421193</v>
      </c>
      <c r="L26" s="11" t="n">
        <v>0.19259495053921</v>
      </c>
      <c r="M26" s="11" t="n">
        <v>0.344336652188826</v>
      </c>
      <c r="N26" s="11" t="n">
        <v>1.52695889754409</v>
      </c>
      <c r="O26" s="12" t="n">
        <v>0.281347537743345</v>
      </c>
      <c r="P26" s="12" t="n">
        <v>0.652060151640156</v>
      </c>
      <c r="Q26" s="4" t="n">
        <f aca="false">RANK(N26,$N$7:$N$307,0)</f>
        <v>20</v>
      </c>
      <c r="R26" s="4" t="n">
        <f aca="false">RANK(O26,$O$7:$O$307,1)</f>
        <v>127</v>
      </c>
      <c r="S26" s="4" t="n">
        <f aca="false">RANK(J26,$J$7:$J$307,0)</f>
        <v>14</v>
      </c>
      <c r="T26" s="4" t="str">
        <f aca="false">IF(O26&lt;0.05,"YES","no")</f>
        <v>no</v>
      </c>
      <c r="U26" s="4" t="str">
        <f aca="false">IF(P26&lt;0.05,"YES","no")</f>
        <v>no</v>
      </c>
      <c r="V26" s="4" t="str">
        <f aca="false">IF(N26&gt;1,"YES","no")</f>
        <v>YES</v>
      </c>
    </row>
    <row r="27" customFormat="false" ht="15" hidden="false" customHeight="false" outlineLevel="0" collapsed="false">
      <c r="A27" s="4" t="s">
        <v>118</v>
      </c>
      <c r="B27" s="4"/>
      <c r="C27" s="4" t="s">
        <v>61</v>
      </c>
      <c r="D27" s="8" t="n">
        <v>230.09567</v>
      </c>
      <c r="E27" s="9" t="n">
        <v>11.253</v>
      </c>
      <c r="F27" s="10" t="n">
        <v>69723076.4933828</v>
      </c>
      <c r="G27" s="10" t="n">
        <v>9809647.30827597</v>
      </c>
      <c r="H27" s="10" t="n">
        <v>51876264.3138732</v>
      </c>
      <c r="I27" s="10" t="n">
        <v>9355765.53155431</v>
      </c>
      <c r="J27" s="10" t="n">
        <v>60799670.403628</v>
      </c>
      <c r="K27" s="11" t="n">
        <v>0.744032921708448</v>
      </c>
      <c r="L27" s="11" t="n">
        <v>-0.426561636276223</v>
      </c>
      <c r="M27" s="11" t="n">
        <v>0.714001255136454</v>
      </c>
      <c r="N27" s="11" t="n">
        <v>1.37531433759385</v>
      </c>
      <c r="O27" s="12" t="n">
        <v>0.00912542285533785</v>
      </c>
      <c r="P27" s="12" t="n">
        <v>0.4478778750797</v>
      </c>
      <c r="Q27" s="4" t="n">
        <f aca="false">RANK(N27,$N$7:$N$307,0)</f>
        <v>21</v>
      </c>
      <c r="R27" s="4" t="n">
        <f aca="false">RANK(O27,$O$7:$O$307,1)</f>
        <v>5</v>
      </c>
      <c r="S27" s="4" t="n">
        <f aca="false">RANK(J27,$J$7:$J$307,0)</f>
        <v>39</v>
      </c>
      <c r="T27" s="4" t="str">
        <f aca="false">IF(O27&lt;0.05,"YES","no")</f>
        <v>YES</v>
      </c>
      <c r="U27" s="4" t="str">
        <f aca="false">IF(P27&lt;0.05,"YES","no")</f>
        <v>no</v>
      </c>
      <c r="V27" s="4" t="str">
        <f aca="false">IF(N27&gt;1,"YES","no")</f>
        <v>YES</v>
      </c>
    </row>
    <row r="28" customFormat="false" ht="15" hidden="false" customHeight="false" outlineLevel="0" collapsed="false">
      <c r="A28" s="4" t="s">
        <v>89</v>
      </c>
      <c r="B28" s="4"/>
      <c r="C28" s="4" t="s">
        <v>61</v>
      </c>
      <c r="D28" s="8" t="n">
        <v>220.11801</v>
      </c>
      <c r="E28" s="9" t="n">
        <v>6.937</v>
      </c>
      <c r="F28" s="10" t="n">
        <v>111088535.483727</v>
      </c>
      <c r="G28" s="10" t="n">
        <v>39213953.6505506</v>
      </c>
      <c r="H28" s="10" t="n">
        <v>91805231.7327774</v>
      </c>
      <c r="I28" s="10" t="n">
        <v>31550613.6425516</v>
      </c>
      <c r="J28" s="10" t="n">
        <v>101446883.608252</v>
      </c>
      <c r="K28" s="11" t="n">
        <v>0.826414997128354</v>
      </c>
      <c r="L28" s="11" t="n">
        <v>-0.275061659553723</v>
      </c>
      <c r="M28" s="11" t="n">
        <v>0.284508453496805</v>
      </c>
      <c r="N28" s="11" t="n">
        <v>1.36512590325153</v>
      </c>
      <c r="O28" s="12" t="n">
        <v>0.371098474862863</v>
      </c>
      <c r="P28" s="12" t="n">
        <v>0.739739343931932</v>
      </c>
      <c r="Q28" s="4" t="n">
        <f aca="false">RANK(N28,$N$7:$N$307,0)</f>
        <v>22</v>
      </c>
      <c r="R28" s="4" t="n">
        <f aca="false">RANK(O28,$O$7:$O$307,1)</f>
        <v>151</v>
      </c>
      <c r="S28" s="4" t="n">
        <f aca="false">RANK(J28,$J$7:$J$307,0)</f>
        <v>29</v>
      </c>
      <c r="T28" s="4" t="str">
        <f aca="false">IF(O28&lt;0.05,"YES","no")</f>
        <v>no</v>
      </c>
      <c r="U28" s="4" t="str">
        <f aca="false">IF(P28&lt;0.05,"YES","no")</f>
        <v>no</v>
      </c>
      <c r="V28" s="4" t="str">
        <f aca="false">IF(N28&gt;1,"YES","no")</f>
        <v>YES</v>
      </c>
    </row>
    <row r="29" customFormat="false" ht="15" hidden="false" customHeight="false" outlineLevel="0" collapsed="false">
      <c r="A29" s="4" t="s">
        <v>74</v>
      </c>
      <c r="B29" s="4"/>
      <c r="C29" s="4" t="s">
        <v>61</v>
      </c>
      <c r="D29" s="8" t="n">
        <v>148.06035</v>
      </c>
      <c r="E29" s="9" t="n">
        <v>9.8</v>
      </c>
      <c r="F29" s="10" t="n">
        <v>236000188.672419</v>
      </c>
      <c r="G29" s="10" t="n">
        <v>61126820.7484908</v>
      </c>
      <c r="H29" s="10" t="n">
        <v>281571001.125971</v>
      </c>
      <c r="I29" s="10" t="n">
        <v>107220798.663631</v>
      </c>
      <c r="J29" s="10" t="n">
        <v>258785594.899195</v>
      </c>
      <c r="K29" s="11" t="n">
        <v>1.19309650856596</v>
      </c>
      <c r="L29" s="11" t="n">
        <v>0.254710746133032</v>
      </c>
      <c r="M29" s="11" t="n">
        <v>0.274978988228604</v>
      </c>
      <c r="N29" s="11" t="n">
        <v>1.3557537545852</v>
      </c>
      <c r="O29" s="12" t="n">
        <v>0.392385726875229</v>
      </c>
      <c r="P29" s="12" t="n">
        <v>0.749888981947654</v>
      </c>
      <c r="Q29" s="4" t="n">
        <f aca="false">RANK(N29,$N$7:$N$307,0)</f>
        <v>23</v>
      </c>
      <c r="R29" s="4" t="n">
        <f aca="false">RANK(O29,$O$7:$O$307,1)</f>
        <v>157</v>
      </c>
      <c r="S29" s="4" t="n">
        <f aca="false">RANK(J29,$J$7:$J$307,0)</f>
        <v>16</v>
      </c>
      <c r="T29" s="4" t="str">
        <f aca="false">IF(O29&lt;0.05,"YES","no")</f>
        <v>no</v>
      </c>
      <c r="U29" s="4" t="str">
        <f aca="false">IF(P29&lt;0.05,"YES","no")</f>
        <v>no</v>
      </c>
      <c r="V29" s="4" t="str">
        <f aca="false">IF(N29&gt;1,"YES","no")</f>
        <v>YES</v>
      </c>
    </row>
    <row r="30" customFormat="false" ht="15" hidden="false" customHeight="false" outlineLevel="0" collapsed="false">
      <c r="A30" s="4" t="s">
        <v>165</v>
      </c>
      <c r="B30" s="4"/>
      <c r="C30" s="4" t="s">
        <v>61</v>
      </c>
      <c r="D30" s="8" t="n">
        <v>664.11651</v>
      </c>
      <c r="E30" s="9" t="n">
        <v>9.531</v>
      </c>
      <c r="F30" s="10" t="n">
        <v>40663557.4625575</v>
      </c>
      <c r="G30" s="10" t="n">
        <v>20248061.8186663</v>
      </c>
      <c r="H30" s="10" t="n">
        <v>27878898.1817549</v>
      </c>
      <c r="I30" s="10" t="n">
        <v>17666288.7239113</v>
      </c>
      <c r="J30" s="10" t="n">
        <v>34271227.8221562</v>
      </c>
      <c r="K30" s="11" t="n">
        <v>0.685599094654358</v>
      </c>
      <c r="L30" s="11" t="n">
        <v>-0.544562890539823</v>
      </c>
      <c r="M30" s="11" t="n">
        <v>0.345794488353828</v>
      </c>
      <c r="N30" s="11" t="n">
        <v>1.33637701221709</v>
      </c>
      <c r="O30" s="12" t="n">
        <v>0.271388595167304</v>
      </c>
      <c r="P30" s="12" t="n">
        <v>0.651482536722943</v>
      </c>
      <c r="Q30" s="4" t="n">
        <f aca="false">RANK(N30,$N$7:$N$307,0)</f>
        <v>24</v>
      </c>
      <c r="R30" s="4" t="n">
        <f aca="false">RANK(O30,$O$7:$O$307,1)</f>
        <v>124</v>
      </c>
      <c r="S30" s="4" t="n">
        <f aca="false">RANK(J30,$J$7:$J$307,0)</f>
        <v>55</v>
      </c>
      <c r="T30" s="4" t="str">
        <f aca="false">IF(O30&lt;0.05,"YES","no")</f>
        <v>no</v>
      </c>
      <c r="U30" s="4" t="str">
        <f aca="false">IF(P30&lt;0.05,"YES","no")</f>
        <v>no</v>
      </c>
      <c r="V30" s="4" t="str">
        <f aca="false">IF(N30&gt;1,"YES","no")</f>
        <v>YES</v>
      </c>
    </row>
    <row r="31" customFormat="false" ht="15" hidden="false" customHeight="false" outlineLevel="0" collapsed="false">
      <c r="A31" s="4" t="s">
        <v>110</v>
      </c>
      <c r="B31" s="4"/>
      <c r="C31" s="4" t="s">
        <v>61</v>
      </c>
      <c r="D31" s="8" t="n">
        <v>76.07564</v>
      </c>
      <c r="E31" s="9" t="n">
        <v>12.042</v>
      </c>
      <c r="F31" s="10" t="n">
        <v>24415264.4924873</v>
      </c>
      <c r="G31" s="10" t="n">
        <v>10740949.1622188</v>
      </c>
      <c r="H31" s="10" t="n">
        <v>45355899.3662175</v>
      </c>
      <c r="I31" s="10" t="n">
        <v>23768320.5554338</v>
      </c>
      <c r="J31" s="10" t="n">
        <v>34885581.9293524</v>
      </c>
      <c r="K31" s="11" t="n">
        <v>1.85768617743927</v>
      </c>
      <c r="L31" s="11" t="n">
        <v>0.893506805008011</v>
      </c>
      <c r="M31" s="11" t="n">
        <v>0.528099656002294</v>
      </c>
      <c r="N31" s="11" t="n">
        <v>1.3335785485908</v>
      </c>
      <c r="O31" s="12" t="n">
        <v>0.0901759133213551</v>
      </c>
      <c r="P31" s="12" t="n">
        <v>0.545525735104785</v>
      </c>
      <c r="Q31" s="4" t="n">
        <f aca="false">RANK(N31,$N$7:$N$307,0)</f>
        <v>25</v>
      </c>
      <c r="R31" s="4" t="n">
        <f aca="false">RANK(O31,$O$7:$O$307,1)</f>
        <v>47</v>
      </c>
      <c r="S31" s="4" t="n">
        <f aca="false">RANK(J31,$J$7:$J$307,0)</f>
        <v>54</v>
      </c>
      <c r="T31" s="4" t="str">
        <f aca="false">IF(O31&lt;0.05,"YES","no")</f>
        <v>no</v>
      </c>
      <c r="U31" s="4" t="str">
        <f aca="false">IF(P31&lt;0.05,"YES","no")</f>
        <v>no</v>
      </c>
      <c r="V31" s="4" t="str">
        <f aca="false">IF(N31&gt;1,"YES","no")</f>
        <v>YES</v>
      </c>
    </row>
    <row r="32" customFormat="false" ht="15" hidden="false" customHeight="false" outlineLevel="0" collapsed="false">
      <c r="A32" s="4" t="s">
        <v>79</v>
      </c>
      <c r="B32" s="4"/>
      <c r="C32" s="4" t="s">
        <v>61</v>
      </c>
      <c r="D32" s="8" t="n">
        <v>268.104</v>
      </c>
      <c r="E32" s="9" t="n">
        <v>8.014</v>
      </c>
      <c r="F32" s="10" t="n">
        <v>150277160.105509</v>
      </c>
      <c r="G32" s="10" t="n">
        <v>32317166.6564877</v>
      </c>
      <c r="H32" s="10" t="n">
        <v>179195397.558152</v>
      </c>
      <c r="I32" s="10" t="n">
        <v>64245480.5281014</v>
      </c>
      <c r="J32" s="10" t="n">
        <v>164736278.831831</v>
      </c>
      <c r="K32" s="11" t="n">
        <v>1.19243268526195</v>
      </c>
      <c r="L32" s="11" t="n">
        <v>0.253907826079971</v>
      </c>
      <c r="M32" s="11" t="n">
        <v>0.297383294320658</v>
      </c>
      <c r="N32" s="11" t="n">
        <v>1.30814590649087</v>
      </c>
      <c r="O32" s="12" t="n">
        <v>0.355830757100111</v>
      </c>
      <c r="P32" s="12" t="n">
        <v>0.728605835966894</v>
      </c>
      <c r="Q32" s="4" t="n">
        <f aca="false">RANK(N32,$N$7:$N$307,0)</f>
        <v>26</v>
      </c>
      <c r="R32" s="4" t="n">
        <f aca="false">RANK(O32,$O$7:$O$307,1)</f>
        <v>147</v>
      </c>
      <c r="S32" s="4" t="n">
        <f aca="false">RANK(J32,$J$7:$J$307,0)</f>
        <v>20</v>
      </c>
      <c r="T32" s="4" t="str">
        <f aca="false">IF(O32&lt;0.05,"YES","no")</f>
        <v>no</v>
      </c>
      <c r="U32" s="4" t="str">
        <f aca="false">IF(P32&lt;0.05,"YES","no")</f>
        <v>no</v>
      </c>
      <c r="V32" s="4" t="str">
        <f aca="false">IF(N32&gt;1,"YES","no")</f>
        <v>YES</v>
      </c>
    </row>
    <row r="33" customFormat="false" ht="15" hidden="false" customHeight="false" outlineLevel="0" collapsed="false">
      <c r="A33" s="4" t="s">
        <v>122</v>
      </c>
      <c r="B33" s="4"/>
      <c r="C33" s="4" t="s">
        <v>61</v>
      </c>
      <c r="D33" s="8" t="n">
        <v>117.01927</v>
      </c>
      <c r="E33" s="9" t="n">
        <v>9.349</v>
      </c>
      <c r="F33" s="10" t="n">
        <v>126338334.911153</v>
      </c>
      <c r="G33" s="10" t="n">
        <v>49902054.8990742</v>
      </c>
      <c r="H33" s="10" t="n">
        <v>154280108.03326</v>
      </c>
      <c r="I33" s="10" t="n">
        <v>75711022.1728175</v>
      </c>
      <c r="J33" s="10" t="n">
        <v>140309221.472207</v>
      </c>
      <c r="K33" s="11" t="n">
        <v>1.22116622909236</v>
      </c>
      <c r="L33" s="11" t="n">
        <v>0.288259598002679</v>
      </c>
      <c r="M33" s="11" t="n">
        <v>0.232166321470427</v>
      </c>
      <c r="N33" s="11" t="n">
        <v>1.29677273421586</v>
      </c>
      <c r="O33" s="12" t="n">
        <v>0.470409469666956</v>
      </c>
      <c r="P33" s="12" t="n">
        <v>0.785761728112644</v>
      </c>
      <c r="Q33" s="4" t="n">
        <f aca="false">RANK(N33,$N$7:$N$307,0)</f>
        <v>27</v>
      </c>
      <c r="R33" s="4" t="n">
        <f aca="false">RANK(O33,$O$7:$O$307,1)</f>
        <v>178</v>
      </c>
      <c r="S33" s="4" t="n">
        <f aca="false">RANK(J33,$J$7:$J$307,0)</f>
        <v>22</v>
      </c>
      <c r="T33" s="4" t="str">
        <f aca="false">IF(O33&lt;0.05,"YES","no")</f>
        <v>no</v>
      </c>
      <c r="U33" s="4" t="str">
        <f aca="false">IF(P33&lt;0.05,"YES","no")</f>
        <v>no</v>
      </c>
      <c r="V33" s="4" t="str">
        <f aca="false">IF(N33&gt;1,"YES","no")</f>
        <v>YES</v>
      </c>
    </row>
    <row r="34" customFormat="false" ht="15" hidden="false" customHeight="false" outlineLevel="0" collapsed="false">
      <c r="A34" s="4" t="s">
        <v>130</v>
      </c>
      <c r="B34" s="4"/>
      <c r="C34" s="4" t="s">
        <v>72</v>
      </c>
      <c r="D34" s="8" t="n">
        <v>220.11791</v>
      </c>
      <c r="E34" s="9" t="n">
        <v>5.093</v>
      </c>
      <c r="F34" s="10" t="n">
        <v>37269054.9072303</v>
      </c>
      <c r="G34" s="10" t="n">
        <v>11137284.9665906</v>
      </c>
      <c r="H34" s="10" t="n">
        <v>24993701.0543348</v>
      </c>
      <c r="I34" s="10" t="n">
        <v>15865045.365123</v>
      </c>
      <c r="J34" s="10" t="n">
        <v>31131377.9807825</v>
      </c>
      <c r="K34" s="11" t="n">
        <v>0.670628786175255</v>
      </c>
      <c r="L34" s="11" t="n">
        <v>-0.57641368395823</v>
      </c>
      <c r="M34" s="11" t="n">
        <v>0.440399781980592</v>
      </c>
      <c r="N34" s="11" t="n">
        <v>1.29668880181886</v>
      </c>
      <c r="O34" s="12" t="n">
        <v>0.155399413905188</v>
      </c>
      <c r="P34" s="12" t="n">
        <v>0.59081559788972</v>
      </c>
      <c r="Q34" s="4" t="n">
        <f aca="false">RANK(N34,$N$7:$N$307,0)</f>
        <v>28</v>
      </c>
      <c r="R34" s="4" t="n">
        <f aca="false">RANK(O34,$O$7:$O$307,1)</f>
        <v>76</v>
      </c>
      <c r="S34" s="4" t="n">
        <f aca="false">RANK(J34,$J$7:$J$307,0)</f>
        <v>61</v>
      </c>
      <c r="T34" s="4" t="str">
        <f aca="false">IF(O34&lt;0.05,"YES","no")</f>
        <v>no</v>
      </c>
      <c r="U34" s="4" t="str">
        <f aca="false">IF(P34&lt;0.05,"YES","no")</f>
        <v>no</v>
      </c>
      <c r="V34" s="4" t="str">
        <f aca="false">IF(N34&gt;1,"YES","no")</f>
        <v>YES</v>
      </c>
    </row>
    <row r="35" customFormat="false" ht="15" hidden="false" customHeight="false" outlineLevel="0" collapsed="false">
      <c r="A35" s="4" t="s">
        <v>83</v>
      </c>
      <c r="B35" s="4" t="s">
        <v>84</v>
      </c>
      <c r="C35" s="4" t="s">
        <v>61</v>
      </c>
      <c r="D35" s="8" t="n">
        <v>175.11886</v>
      </c>
      <c r="E35" s="9" t="n">
        <v>18.84</v>
      </c>
      <c r="F35" s="10" t="n">
        <v>69884678.5397658</v>
      </c>
      <c r="G35" s="10" t="n">
        <v>21782184.2648221</v>
      </c>
      <c r="H35" s="10" t="n">
        <v>93649258.6342966</v>
      </c>
      <c r="I35" s="10" t="n">
        <v>20217765.6513999</v>
      </c>
      <c r="J35" s="10" t="n">
        <v>81766968.5870312</v>
      </c>
      <c r="K35" s="11" t="n">
        <v>1.34005422348775</v>
      </c>
      <c r="L35" s="11" t="n">
        <v>0.422291378574208</v>
      </c>
      <c r="M35" s="11" t="n">
        <v>0.526570934031898</v>
      </c>
      <c r="N35" s="11" t="n">
        <v>1.25586236560724</v>
      </c>
      <c r="O35" s="12" t="n">
        <v>0.0787636673292433</v>
      </c>
      <c r="P35" s="12" t="n">
        <v>0.545525735104785</v>
      </c>
      <c r="Q35" s="4" t="n">
        <f aca="false">RANK(N35,$N$7:$N$307,0)</f>
        <v>29</v>
      </c>
      <c r="R35" s="4" t="n">
        <f aca="false">RANK(O35,$O$7:$O$307,1)</f>
        <v>42</v>
      </c>
      <c r="S35" s="4" t="n">
        <f aca="false">RANK(J35,$J$7:$J$307,0)</f>
        <v>32</v>
      </c>
      <c r="T35" s="4" t="str">
        <f aca="false">IF(O35&lt;0.05,"YES","no")</f>
        <v>no</v>
      </c>
      <c r="U35" s="4" t="str">
        <f aca="false">IF(P35&lt;0.05,"YES","no")</f>
        <v>no</v>
      </c>
      <c r="V35" s="4" t="str">
        <f aca="false">IF(N35&gt;1,"YES","no")</f>
        <v>YES</v>
      </c>
    </row>
    <row r="36" customFormat="false" ht="15" hidden="false" customHeight="false" outlineLevel="0" collapsed="false">
      <c r="A36" s="4" t="s">
        <v>81</v>
      </c>
      <c r="B36" s="4"/>
      <c r="C36" s="4" t="s">
        <v>61</v>
      </c>
      <c r="D36" s="8" t="n">
        <v>184.07327</v>
      </c>
      <c r="E36" s="9" t="n">
        <v>11.86</v>
      </c>
      <c r="F36" s="10" t="n">
        <v>56305241.5774115</v>
      </c>
      <c r="G36" s="10" t="n">
        <v>40441005.9078641</v>
      </c>
      <c r="H36" s="10" t="n">
        <v>88239823.3052858</v>
      </c>
      <c r="I36" s="10" t="n">
        <v>58576987.8813006</v>
      </c>
      <c r="J36" s="10" t="n">
        <v>72272532.4413486</v>
      </c>
      <c r="K36" s="11" t="n">
        <v>1.5671688964156</v>
      </c>
      <c r="L36" s="11" t="n">
        <v>0.648160669849161</v>
      </c>
      <c r="M36" s="11" t="n">
        <v>0.328257842261882</v>
      </c>
      <c r="N36" s="11" t="n">
        <v>1.24051822654101</v>
      </c>
      <c r="O36" s="12" t="n">
        <v>0.300683092235825</v>
      </c>
      <c r="P36" s="12" t="n">
        <v>0.652060151640156</v>
      </c>
      <c r="Q36" s="4" t="n">
        <f aca="false">RANK(N36,$N$7:$N$307,0)</f>
        <v>30</v>
      </c>
      <c r="R36" s="4" t="n">
        <f aca="false">RANK(O36,$O$7:$O$307,1)</f>
        <v>137</v>
      </c>
      <c r="S36" s="4" t="n">
        <f aca="false">RANK(J36,$J$7:$J$307,0)</f>
        <v>33</v>
      </c>
      <c r="T36" s="4" t="str">
        <f aca="false">IF(O36&lt;0.05,"YES","no")</f>
        <v>no</v>
      </c>
      <c r="U36" s="4" t="str">
        <f aca="false">IF(P36&lt;0.05,"YES","no")</f>
        <v>no</v>
      </c>
      <c r="V36" s="4" t="str">
        <f aca="false">IF(N36&gt;1,"YES","no")</f>
        <v>YES</v>
      </c>
    </row>
    <row r="37" customFormat="false" ht="15" hidden="false" customHeight="false" outlineLevel="0" collapsed="false">
      <c r="A37" s="4" t="s">
        <v>73</v>
      </c>
      <c r="B37" s="4"/>
      <c r="C37" s="4" t="s">
        <v>61</v>
      </c>
      <c r="D37" s="8" t="n">
        <v>116.07051</v>
      </c>
      <c r="E37" s="9" t="n">
        <v>10.722</v>
      </c>
      <c r="F37" s="10" t="n">
        <v>365067773.509445</v>
      </c>
      <c r="G37" s="10" t="n">
        <v>90757279.6293766</v>
      </c>
      <c r="H37" s="10" t="n">
        <v>393710556.118327</v>
      </c>
      <c r="I37" s="10" t="n">
        <v>111827923.869706</v>
      </c>
      <c r="J37" s="10" t="n">
        <v>379389164.813886</v>
      </c>
      <c r="K37" s="11" t="n">
        <v>1.07845880871252</v>
      </c>
      <c r="L37" s="11" t="n">
        <v>0.108971074411164</v>
      </c>
      <c r="M37" s="11" t="n">
        <v>0.152253978213552</v>
      </c>
      <c r="N37" s="11" t="n">
        <v>1.16971450427668</v>
      </c>
      <c r="O37" s="12" t="n">
        <v>0.637090887161928</v>
      </c>
      <c r="P37" s="12" t="n">
        <v>0.881168181006632</v>
      </c>
      <c r="Q37" s="4" t="n">
        <f aca="false">RANK(N37,$N$7:$N$307,0)</f>
        <v>31</v>
      </c>
      <c r="R37" s="4" t="n">
        <f aca="false">RANK(O37,$O$7:$O$307,1)</f>
        <v>215</v>
      </c>
      <c r="S37" s="4" t="n">
        <f aca="false">RANK(J37,$J$7:$J$307,0)</f>
        <v>12</v>
      </c>
      <c r="T37" s="4" t="str">
        <f aca="false">IF(O37&lt;0.05,"YES","no")</f>
        <v>no</v>
      </c>
      <c r="U37" s="4" t="str">
        <f aca="false">IF(P37&lt;0.05,"YES","no")</f>
        <v>no</v>
      </c>
      <c r="V37" s="4" t="str">
        <f aca="false">IF(N37&gt;1,"YES","no")</f>
        <v>YES</v>
      </c>
    </row>
    <row r="38" customFormat="false" ht="15" hidden="false" customHeight="false" outlineLevel="0" collapsed="false">
      <c r="A38" s="4" t="s">
        <v>123</v>
      </c>
      <c r="B38" s="4"/>
      <c r="C38" s="4" t="s">
        <v>72</v>
      </c>
      <c r="D38" s="8" t="n">
        <v>104.10686</v>
      </c>
      <c r="E38" s="9" t="n">
        <v>8.911</v>
      </c>
      <c r="F38" s="10" t="n">
        <v>496739445.316634</v>
      </c>
      <c r="G38" s="10" t="n">
        <v>193229092.280199</v>
      </c>
      <c r="H38" s="10" t="n">
        <v>538401817.284819</v>
      </c>
      <c r="I38" s="10" t="n">
        <v>245436742.766846</v>
      </c>
      <c r="J38" s="10" t="n">
        <v>517570631.300726</v>
      </c>
      <c r="K38" s="11" t="n">
        <v>1.08387168033662</v>
      </c>
      <c r="L38" s="11" t="n">
        <v>0.116193966009006</v>
      </c>
      <c r="M38" s="11" t="n">
        <v>0.10276405630588</v>
      </c>
      <c r="N38" s="11" t="n">
        <v>1.15439625464204</v>
      </c>
      <c r="O38" s="12" t="n">
        <v>0.750995852103251</v>
      </c>
      <c r="P38" s="12" t="n">
        <v>0.907830327241279</v>
      </c>
      <c r="Q38" s="4" t="n">
        <f aca="false">RANK(N38,$N$7:$N$307,0)</f>
        <v>32</v>
      </c>
      <c r="R38" s="4" t="n">
        <f aca="false">RANK(O38,$O$7:$O$307,1)</f>
        <v>249</v>
      </c>
      <c r="S38" s="4" t="n">
        <f aca="false">RANK(J38,$J$7:$J$307,0)</f>
        <v>9</v>
      </c>
      <c r="T38" s="4" t="str">
        <f aca="false">IF(O38&lt;0.05,"YES","no")</f>
        <v>no</v>
      </c>
      <c r="U38" s="4" t="str">
        <f aca="false">IF(P38&lt;0.05,"YES","no")</f>
        <v>no</v>
      </c>
      <c r="V38" s="4" t="str">
        <f aca="false">IF(N38&gt;1,"YES","no")</f>
        <v>YES</v>
      </c>
    </row>
    <row r="39" customFormat="false" ht="15" hidden="false" customHeight="false" outlineLevel="0" collapsed="false">
      <c r="A39" s="4" t="s">
        <v>128</v>
      </c>
      <c r="B39" s="4"/>
      <c r="C39" s="4" t="s">
        <v>61</v>
      </c>
      <c r="D39" s="8" t="n">
        <v>188.05646</v>
      </c>
      <c r="E39" s="9" t="n">
        <v>8.846</v>
      </c>
      <c r="F39" s="10" t="n">
        <v>14023712.1992758</v>
      </c>
      <c r="G39" s="10" t="n">
        <v>5398474.13783672</v>
      </c>
      <c r="H39" s="10" t="n">
        <v>29288550.9571555</v>
      </c>
      <c r="I39" s="10" t="n">
        <v>13374076.5173278</v>
      </c>
      <c r="J39" s="10" t="n">
        <v>21656131.5782157</v>
      </c>
      <c r="K39" s="11" t="n">
        <v>2.08850199868391</v>
      </c>
      <c r="L39" s="11" t="n">
        <v>1.06246852415189</v>
      </c>
      <c r="M39" s="11" t="n">
        <v>0.634003168254669</v>
      </c>
      <c r="N39" s="11" t="n">
        <v>1.10037179785848</v>
      </c>
      <c r="O39" s="12" t="n">
        <v>0.037769416143704</v>
      </c>
      <c r="P39" s="12" t="n">
        <v>0.478364863336053</v>
      </c>
      <c r="Q39" s="4" t="n">
        <f aca="false">RANK(N39,$N$7:$N$307,0)</f>
        <v>33</v>
      </c>
      <c r="R39" s="4" t="n">
        <f aca="false">RANK(O39,$O$7:$O$307,1)</f>
        <v>21</v>
      </c>
      <c r="S39" s="4" t="n">
        <f aca="false">RANK(J39,$J$7:$J$307,0)</f>
        <v>70</v>
      </c>
      <c r="T39" s="4" t="str">
        <f aca="false">IF(O39&lt;0.05,"YES","no")</f>
        <v>YES</v>
      </c>
      <c r="U39" s="4" t="str">
        <f aca="false">IF(P39&lt;0.05,"YES","no")</f>
        <v>no</v>
      </c>
      <c r="V39" s="4" t="str">
        <f aca="false">IF(N39&gt;1,"YES","no")</f>
        <v>YES</v>
      </c>
    </row>
    <row r="40" customFormat="false" ht="15" hidden="false" customHeight="false" outlineLevel="0" collapsed="false">
      <c r="A40" s="4" t="s">
        <v>85</v>
      </c>
      <c r="B40" s="4"/>
      <c r="C40" s="4" t="s">
        <v>61</v>
      </c>
      <c r="D40" s="8" t="n">
        <v>90.05487</v>
      </c>
      <c r="E40" s="9" t="n">
        <v>11.327</v>
      </c>
      <c r="F40" s="10" t="n">
        <v>134514552.532866</v>
      </c>
      <c r="G40" s="10" t="n">
        <v>32033880.0473559</v>
      </c>
      <c r="H40" s="10" t="n">
        <v>114281841.905706</v>
      </c>
      <c r="I40" s="10" t="n">
        <v>10221790.5049504</v>
      </c>
      <c r="J40" s="10" t="n">
        <v>124398197.219286</v>
      </c>
      <c r="K40" s="11" t="n">
        <v>0.849587198959632</v>
      </c>
      <c r="L40" s="11" t="n">
        <v>-0.2351660661942</v>
      </c>
      <c r="M40" s="11" t="n">
        <v>0.422452179576953</v>
      </c>
      <c r="N40" s="11" t="n">
        <v>1.09569424236552</v>
      </c>
      <c r="O40" s="12" t="n">
        <v>0.190885067254158</v>
      </c>
      <c r="P40" s="12" t="n">
        <v>0.598504221286473</v>
      </c>
      <c r="Q40" s="4" t="n">
        <f aca="false">RANK(N40,$N$7:$N$307,0)</f>
        <v>34</v>
      </c>
      <c r="R40" s="4" t="n">
        <f aca="false">RANK(O40,$O$7:$O$307,1)</f>
        <v>96</v>
      </c>
      <c r="S40" s="4" t="n">
        <f aca="false">RANK(J40,$J$7:$J$307,0)</f>
        <v>25</v>
      </c>
      <c r="T40" s="4" t="str">
        <f aca="false">IF(O40&lt;0.05,"YES","no")</f>
        <v>no</v>
      </c>
      <c r="U40" s="4" t="str">
        <f aca="false">IF(P40&lt;0.05,"YES","no")</f>
        <v>no</v>
      </c>
      <c r="V40" s="4" t="str">
        <f aca="false">IF(N40&gt;1,"YES","no")</f>
        <v>YES</v>
      </c>
    </row>
    <row r="41" customFormat="false" ht="15" hidden="false" customHeight="false" outlineLevel="0" collapsed="false">
      <c r="A41" s="4" t="s">
        <v>222</v>
      </c>
      <c r="B41" s="4"/>
      <c r="C41" s="4" t="s">
        <v>61</v>
      </c>
      <c r="D41" s="8" t="n">
        <v>665.215</v>
      </c>
      <c r="E41" s="9" t="n">
        <v>11.713</v>
      </c>
      <c r="F41" s="10" t="n">
        <v>7899828.61700902</v>
      </c>
      <c r="G41" s="10" t="n">
        <v>8628621.2967333</v>
      </c>
      <c r="H41" s="10" t="n">
        <v>24553105.0137687</v>
      </c>
      <c r="I41" s="10" t="n">
        <v>19208103.4108353</v>
      </c>
      <c r="J41" s="10" t="n">
        <v>16226466.8153888</v>
      </c>
      <c r="K41" s="11" t="n">
        <v>3.10805540273414</v>
      </c>
      <c r="L41" s="11" t="n">
        <v>1.63601222077825</v>
      </c>
      <c r="M41" s="11" t="n">
        <v>0.522372645093735</v>
      </c>
      <c r="N41" s="11" t="n">
        <v>1.07647899337277</v>
      </c>
      <c r="O41" s="12" t="n">
        <v>0.0942858122797948</v>
      </c>
      <c r="P41" s="12" t="n">
        <v>0.545769798004197</v>
      </c>
      <c r="Q41" s="4" t="n">
        <f aca="false">RANK(N41,$N$7:$N$307,0)</f>
        <v>35</v>
      </c>
      <c r="R41" s="4" t="n">
        <f aca="false">RANK(O41,$O$7:$O$307,1)</f>
        <v>52</v>
      </c>
      <c r="S41" s="4" t="n">
        <f aca="false">RANK(J41,$J$7:$J$307,0)</f>
        <v>81</v>
      </c>
      <c r="T41" s="4" t="str">
        <f aca="false">IF(O41&lt;0.05,"YES","no")</f>
        <v>no</v>
      </c>
      <c r="U41" s="4" t="str">
        <f aca="false">IF(P41&lt;0.05,"YES","no")</f>
        <v>no</v>
      </c>
      <c r="V41" s="4" t="str">
        <f aca="false">IF(N41&gt;1,"YES","no")</f>
        <v>YES</v>
      </c>
    </row>
    <row r="42" customFormat="false" ht="15" hidden="false" customHeight="false" outlineLevel="0" collapsed="false">
      <c r="A42" s="4" t="s">
        <v>150</v>
      </c>
      <c r="B42" s="4"/>
      <c r="C42" s="4" t="s">
        <v>61</v>
      </c>
      <c r="D42" s="8" t="n">
        <v>558.06456</v>
      </c>
      <c r="E42" s="9" t="n">
        <v>9.061</v>
      </c>
      <c r="F42" s="10" t="n">
        <v>81600092.4498089</v>
      </c>
      <c r="G42" s="10" t="n">
        <v>21096382.9245188</v>
      </c>
      <c r="H42" s="10" t="n">
        <v>98408593.9590496</v>
      </c>
      <c r="I42" s="10" t="n">
        <v>29220540.7466932</v>
      </c>
      <c r="J42" s="10" t="n">
        <v>90004343.2044293</v>
      </c>
      <c r="K42" s="11" t="n">
        <v>1.20598630472851</v>
      </c>
      <c r="L42" s="11" t="n">
        <v>0.270213523977257</v>
      </c>
      <c r="M42" s="11" t="n">
        <v>0.339766487705675</v>
      </c>
      <c r="N42" s="11" t="n">
        <v>0.979010757514233</v>
      </c>
      <c r="O42" s="12" t="n">
        <v>0.282458671902333</v>
      </c>
      <c r="P42" s="12" t="n">
        <v>0.652060151640156</v>
      </c>
      <c r="Q42" s="4" t="n">
        <f aca="false">RANK(N42,$N$7:$N$307,0)</f>
        <v>36</v>
      </c>
      <c r="R42" s="4" t="n">
        <f aca="false">RANK(O42,$O$7:$O$307,1)</f>
        <v>129</v>
      </c>
      <c r="S42" s="4" t="n">
        <f aca="false">RANK(J42,$J$7:$J$307,0)</f>
        <v>30</v>
      </c>
      <c r="T42" s="4" t="str">
        <f aca="false">IF(O42&lt;0.05,"YES","no")</f>
        <v>no</v>
      </c>
      <c r="U42" s="4" t="str">
        <f aca="false">IF(P42&lt;0.05,"YES","no")</f>
        <v>no</v>
      </c>
      <c r="V42" s="4" t="str">
        <f aca="false">IF(N42&gt;1,"YES","no")</f>
        <v>no</v>
      </c>
    </row>
    <row r="43" customFormat="false" ht="15" hidden="false" customHeight="false" outlineLevel="0" collapsed="false">
      <c r="A43" s="4" t="s">
        <v>140</v>
      </c>
      <c r="B43" s="4"/>
      <c r="C43" s="4" t="s">
        <v>61</v>
      </c>
      <c r="D43" s="8" t="n">
        <v>508.00291</v>
      </c>
      <c r="E43" s="9" t="n">
        <v>10.408</v>
      </c>
      <c r="F43" s="10" t="n">
        <v>18469582.1898512</v>
      </c>
      <c r="G43" s="10" t="n">
        <v>4220128.45309344</v>
      </c>
      <c r="H43" s="10" t="n">
        <v>11525470.2014712</v>
      </c>
      <c r="I43" s="10" t="n">
        <v>6061908.28588581</v>
      </c>
      <c r="J43" s="10" t="n">
        <v>14997526.1956612</v>
      </c>
      <c r="K43" s="11" t="n">
        <v>0.624024413925525</v>
      </c>
      <c r="L43" s="11" t="n">
        <v>-0.68032562163273</v>
      </c>
      <c r="M43" s="11" t="n">
        <v>0.588679173418961</v>
      </c>
      <c r="N43" s="11" t="n">
        <v>0.960593833179429</v>
      </c>
      <c r="O43" s="12" t="n">
        <v>0.0470115124488059</v>
      </c>
      <c r="P43" s="12" t="n">
        <v>0.478364863336053</v>
      </c>
      <c r="Q43" s="4" t="n">
        <f aca="false">RANK(N43,$N$7:$N$307,0)</f>
        <v>37</v>
      </c>
      <c r="R43" s="4" t="n">
        <f aca="false">RANK(O43,$O$7:$O$307,1)</f>
        <v>28</v>
      </c>
      <c r="S43" s="4" t="n">
        <f aca="false">RANK(J43,$J$7:$J$307,0)</f>
        <v>84</v>
      </c>
      <c r="T43" s="4" t="str">
        <f aca="false">IF(O43&lt;0.05,"YES","no")</f>
        <v>YES</v>
      </c>
      <c r="U43" s="4" t="str">
        <f aca="false">IF(P43&lt;0.05,"YES","no")</f>
        <v>no</v>
      </c>
      <c r="V43" s="4" t="str">
        <f aca="false">IF(N43&gt;1,"YES","no")</f>
        <v>no</v>
      </c>
    </row>
    <row r="44" customFormat="false" ht="15" hidden="false" customHeight="false" outlineLevel="0" collapsed="false">
      <c r="A44" s="4" t="s">
        <v>82</v>
      </c>
      <c r="B44" s="4"/>
      <c r="C44" s="4" t="s">
        <v>61</v>
      </c>
      <c r="D44" s="8" t="n">
        <v>166.08629</v>
      </c>
      <c r="E44" s="9" t="n">
        <v>8.757</v>
      </c>
      <c r="F44" s="10" t="n">
        <v>54632902.8605096</v>
      </c>
      <c r="G44" s="10" t="n">
        <v>13027138.8472989</v>
      </c>
      <c r="H44" s="10" t="n">
        <v>69553871.5492918</v>
      </c>
      <c r="I44" s="10" t="n">
        <v>21289380.9228187</v>
      </c>
      <c r="J44" s="10" t="n">
        <v>62093387.2049007</v>
      </c>
      <c r="K44" s="11" t="n">
        <v>1.27311323227468</v>
      </c>
      <c r="L44" s="11" t="n">
        <v>0.348360740037562</v>
      </c>
      <c r="M44" s="11" t="n">
        <v>0.420204718131059</v>
      </c>
      <c r="N44" s="11" t="n">
        <v>0.958616024898997</v>
      </c>
      <c r="O44" s="12" t="n">
        <v>0.179985499327622</v>
      </c>
      <c r="P44" s="12" t="n">
        <v>0.59081559788972</v>
      </c>
      <c r="Q44" s="4" t="n">
        <f aca="false">RANK(N44,$N$7:$N$307,0)</f>
        <v>38</v>
      </c>
      <c r="R44" s="4" t="n">
        <f aca="false">RANK(O44,$O$7:$O$307,1)</f>
        <v>91</v>
      </c>
      <c r="S44" s="4" t="n">
        <f aca="false">RANK(J44,$J$7:$J$307,0)</f>
        <v>37</v>
      </c>
      <c r="T44" s="4" t="str">
        <f aca="false">IF(O44&lt;0.05,"YES","no")</f>
        <v>no</v>
      </c>
      <c r="U44" s="4" t="str">
        <f aca="false">IF(P44&lt;0.05,"YES","no")</f>
        <v>no</v>
      </c>
      <c r="V44" s="4" t="str">
        <f aca="false">IF(N44&gt;1,"YES","no")</f>
        <v>no</v>
      </c>
    </row>
    <row r="45" customFormat="false" ht="15" hidden="false" customHeight="false" outlineLevel="0" collapsed="false">
      <c r="A45" s="4" t="s">
        <v>111</v>
      </c>
      <c r="B45" s="4"/>
      <c r="C45" s="4" t="s">
        <v>72</v>
      </c>
      <c r="D45" s="8" t="n">
        <v>514.28466</v>
      </c>
      <c r="E45" s="9" t="n">
        <v>4.74</v>
      </c>
      <c r="F45" s="10" t="n">
        <v>175923.247640186</v>
      </c>
      <c r="G45" s="10" t="n">
        <v>44018.542954847</v>
      </c>
      <c r="H45" s="10" t="n">
        <v>17010971.2702197</v>
      </c>
      <c r="I45" s="10" t="n">
        <v>27958632.249166</v>
      </c>
      <c r="J45" s="10" t="n">
        <v>8593447.25892994</v>
      </c>
      <c r="K45" s="11" t="n">
        <v>96.6954140422193</v>
      </c>
      <c r="L45" s="11" t="n">
        <v>6.59537556374732</v>
      </c>
      <c r="M45" s="11" t="n">
        <v>0.422698977963832</v>
      </c>
      <c r="N45" s="11" t="n">
        <v>0.955325030297384</v>
      </c>
      <c r="O45" s="12" t="n">
        <v>0.200242805441143</v>
      </c>
      <c r="P45" s="12" t="n">
        <v>0.605590657294096</v>
      </c>
      <c r="Q45" s="4" t="n">
        <f aca="false">RANK(N45,$N$7:$N$307,0)</f>
        <v>39</v>
      </c>
      <c r="R45" s="4" t="n">
        <f aca="false">RANK(O45,$O$7:$O$307,1)</f>
        <v>99</v>
      </c>
      <c r="S45" s="4" t="n">
        <f aca="false">RANK(J45,$J$7:$J$307,0)</f>
        <v>105</v>
      </c>
      <c r="T45" s="4" t="str">
        <f aca="false">IF(O45&lt;0.05,"YES","no")</f>
        <v>no</v>
      </c>
      <c r="U45" s="4" t="str">
        <f aca="false">IF(P45&lt;0.05,"YES","no")</f>
        <v>no</v>
      </c>
      <c r="V45" s="4" t="str">
        <f aca="false">IF(N45&gt;1,"YES","no")</f>
        <v>no</v>
      </c>
    </row>
    <row r="46" customFormat="false" ht="15" hidden="false" customHeight="false" outlineLevel="0" collapsed="false">
      <c r="A46" s="4" t="s">
        <v>94</v>
      </c>
      <c r="B46" s="4"/>
      <c r="C46" s="4" t="s">
        <v>61</v>
      </c>
      <c r="D46" s="8" t="n">
        <v>144.10188</v>
      </c>
      <c r="E46" s="9" t="n">
        <v>10.062</v>
      </c>
      <c r="F46" s="10" t="n">
        <v>184402360.800041</v>
      </c>
      <c r="G46" s="10" t="n">
        <v>34448232.2397981</v>
      </c>
      <c r="H46" s="10" t="n">
        <v>199304209.186636</v>
      </c>
      <c r="I46" s="10" t="n">
        <v>36028888.0887122</v>
      </c>
      <c r="J46" s="10" t="n">
        <v>191853284.993339</v>
      </c>
      <c r="K46" s="11" t="n">
        <v>1.0808115922266</v>
      </c>
      <c r="L46" s="11" t="n">
        <v>0.112115053460668</v>
      </c>
      <c r="M46" s="11" t="n">
        <v>0.225595743098672</v>
      </c>
      <c r="N46" s="11" t="n">
        <v>0.905238239981526</v>
      </c>
      <c r="O46" s="12" t="n">
        <v>0.480845007180621</v>
      </c>
      <c r="P46" s="12" t="n">
        <v>0.785962678144081</v>
      </c>
      <c r="Q46" s="4" t="n">
        <f aca="false">RANK(N46,$N$7:$N$307,0)</f>
        <v>40</v>
      </c>
      <c r="R46" s="4" t="n">
        <f aca="false">RANK(O46,$O$7:$O$307,1)</f>
        <v>184</v>
      </c>
      <c r="S46" s="4" t="n">
        <f aca="false">RANK(J46,$J$7:$J$307,0)</f>
        <v>19</v>
      </c>
      <c r="T46" s="4" t="str">
        <f aca="false">IF(O46&lt;0.05,"YES","no")</f>
        <v>no</v>
      </c>
      <c r="U46" s="4" t="str">
        <f aca="false">IF(P46&lt;0.05,"YES","no")</f>
        <v>no</v>
      </c>
      <c r="V46" s="4" t="str">
        <f aca="false">IF(N46&gt;1,"YES","no")</f>
        <v>no</v>
      </c>
    </row>
    <row r="47" customFormat="false" ht="15" hidden="false" customHeight="false" outlineLevel="0" collapsed="false">
      <c r="A47" s="4" t="s">
        <v>78</v>
      </c>
      <c r="B47" s="4"/>
      <c r="C47" s="4" t="s">
        <v>61</v>
      </c>
      <c r="D47" s="8" t="n">
        <v>156.0766</v>
      </c>
      <c r="E47" s="9" t="n">
        <v>13.639</v>
      </c>
      <c r="F47" s="10" t="n">
        <v>129517199.999938</v>
      </c>
      <c r="G47" s="10" t="n">
        <v>37820940.9903147</v>
      </c>
      <c r="H47" s="10" t="n">
        <v>138296821.524318</v>
      </c>
      <c r="I47" s="10" t="n">
        <v>40354368.9085555</v>
      </c>
      <c r="J47" s="10" t="n">
        <v>133907010.762128</v>
      </c>
      <c r="K47" s="11" t="n">
        <v>1.06778730179763</v>
      </c>
      <c r="L47" s="11" t="n">
        <v>0.0946242975852717</v>
      </c>
      <c r="M47" s="11" t="n">
        <v>0.122042272817207</v>
      </c>
      <c r="N47" s="11" t="n">
        <v>0.846983102113768</v>
      </c>
      <c r="O47" s="12" t="n">
        <v>0.705580239721571</v>
      </c>
      <c r="P47" s="12" t="n">
        <v>0.892351479647869</v>
      </c>
      <c r="Q47" s="4" t="n">
        <f aca="false">RANK(N47,$N$7:$N$307,0)</f>
        <v>41</v>
      </c>
      <c r="R47" s="4" t="n">
        <f aca="false">RANK(O47,$O$7:$O$307,1)</f>
        <v>238</v>
      </c>
      <c r="S47" s="4" t="n">
        <f aca="false">RANK(J47,$J$7:$J$307,0)</f>
        <v>23</v>
      </c>
      <c r="T47" s="4" t="str">
        <f aca="false">IF(O47&lt;0.05,"YES","no")</f>
        <v>no</v>
      </c>
      <c r="U47" s="4" t="str">
        <f aca="false">IF(P47&lt;0.05,"YES","no")</f>
        <v>no</v>
      </c>
      <c r="V47" s="4" t="str">
        <f aca="false">IF(N47&gt;1,"YES","no")</f>
        <v>no</v>
      </c>
    </row>
    <row r="48" customFormat="false" ht="15" hidden="false" customHeight="false" outlineLevel="0" collapsed="false">
      <c r="A48" s="4" t="s">
        <v>220</v>
      </c>
      <c r="B48" s="4"/>
      <c r="C48" s="4" t="s">
        <v>72</v>
      </c>
      <c r="D48" s="8" t="n">
        <v>522.20298</v>
      </c>
      <c r="E48" s="9" t="n">
        <v>11.479</v>
      </c>
      <c r="F48" s="10" t="n">
        <v>7572275.59494758</v>
      </c>
      <c r="G48" s="10" t="n">
        <v>7423496.01530943</v>
      </c>
      <c r="H48" s="10" t="n">
        <v>17916465.0349983</v>
      </c>
      <c r="I48" s="10" t="n">
        <v>10643211.9112218</v>
      </c>
      <c r="J48" s="10" t="n">
        <v>12744370.3149729</v>
      </c>
      <c r="K48" s="11" t="n">
        <v>2.36606087699088</v>
      </c>
      <c r="L48" s="11" t="n">
        <v>1.24248719362824</v>
      </c>
      <c r="M48" s="11" t="n">
        <v>0.525386375592627</v>
      </c>
      <c r="N48" s="11" t="n">
        <v>0.839019893371795</v>
      </c>
      <c r="O48" s="12" t="n">
        <v>0.0828559086469975</v>
      </c>
      <c r="P48" s="12" t="n">
        <v>0.545525735104785</v>
      </c>
      <c r="Q48" s="4" t="n">
        <f aca="false">RANK(N48,$N$7:$N$307,0)</f>
        <v>42</v>
      </c>
      <c r="R48" s="4" t="n">
        <f aca="false">RANK(O48,$O$7:$O$307,1)</f>
        <v>44</v>
      </c>
      <c r="S48" s="4" t="n">
        <f aca="false">RANK(J48,$J$7:$J$307,0)</f>
        <v>93</v>
      </c>
      <c r="T48" s="4" t="str">
        <f aca="false">IF(O48&lt;0.05,"YES","no")</f>
        <v>no</v>
      </c>
      <c r="U48" s="4" t="str">
        <f aca="false">IF(P48&lt;0.05,"YES","no")</f>
        <v>no</v>
      </c>
      <c r="V48" s="4" t="str">
        <f aca="false">IF(N48&gt;1,"YES","no")</f>
        <v>no</v>
      </c>
    </row>
    <row r="49" customFormat="false" ht="15" hidden="false" customHeight="false" outlineLevel="0" collapsed="false">
      <c r="A49" s="4" t="s">
        <v>134</v>
      </c>
      <c r="B49" s="4"/>
      <c r="C49" s="4" t="s">
        <v>72</v>
      </c>
      <c r="D49" s="8" t="n">
        <v>426.02204</v>
      </c>
      <c r="E49" s="9" t="n">
        <v>9.694</v>
      </c>
      <c r="F49" s="10" t="n">
        <v>34399678.6083903</v>
      </c>
      <c r="G49" s="10" t="n">
        <v>12506312.5218725</v>
      </c>
      <c r="H49" s="10" t="n">
        <v>30389005.120126</v>
      </c>
      <c r="I49" s="10" t="n">
        <v>14705617.3975591</v>
      </c>
      <c r="J49" s="10" t="n">
        <v>32394341.8642582</v>
      </c>
      <c r="K49" s="11" t="n">
        <v>0.883409565132214</v>
      </c>
      <c r="L49" s="11" t="n">
        <v>-0.178845641619436</v>
      </c>
      <c r="M49" s="11" t="n">
        <v>0.158884905523793</v>
      </c>
      <c r="N49" s="11" t="n">
        <v>0.836644213923389</v>
      </c>
      <c r="O49" s="12" t="n">
        <v>0.622139061680933</v>
      </c>
      <c r="P49" s="12" t="n">
        <v>0.881168181006632</v>
      </c>
      <c r="Q49" s="4" t="n">
        <f aca="false">RANK(N49,$N$7:$N$307,0)</f>
        <v>43</v>
      </c>
      <c r="R49" s="4" t="n">
        <f aca="false">RANK(O49,$O$7:$O$307,1)</f>
        <v>211</v>
      </c>
      <c r="S49" s="4" t="n">
        <f aca="false">RANK(J49,$J$7:$J$307,0)</f>
        <v>57</v>
      </c>
      <c r="T49" s="4" t="str">
        <f aca="false">IF(O49&lt;0.05,"YES","no")</f>
        <v>no</v>
      </c>
      <c r="U49" s="4" t="str">
        <f aca="false">IF(P49&lt;0.05,"YES","no")</f>
        <v>no</v>
      </c>
      <c r="V49" s="4" t="str">
        <f aca="false">IF(N49&gt;1,"YES","no")</f>
        <v>no</v>
      </c>
    </row>
    <row r="50" customFormat="false" ht="15" hidden="false" customHeight="false" outlineLevel="0" collapsed="false">
      <c r="A50" s="4" t="s">
        <v>120</v>
      </c>
      <c r="B50" s="4" t="s">
        <v>121</v>
      </c>
      <c r="C50" s="4" t="s">
        <v>61</v>
      </c>
      <c r="D50" s="8" t="n">
        <v>176.10294</v>
      </c>
      <c r="E50" s="9" t="n">
        <v>11.63</v>
      </c>
      <c r="F50" s="10" t="n">
        <v>32299105.1853829</v>
      </c>
      <c r="G50" s="10" t="n">
        <v>8501919.03383881</v>
      </c>
      <c r="H50" s="10" t="n">
        <v>40614047.6021458</v>
      </c>
      <c r="I50" s="10" t="n">
        <v>18753377.4393201</v>
      </c>
      <c r="J50" s="10" t="n">
        <v>36456576.3937643</v>
      </c>
      <c r="K50" s="11" t="n">
        <v>1.25743568959693</v>
      </c>
      <c r="L50" s="11" t="n">
        <v>0.330484616593725</v>
      </c>
      <c r="M50" s="11" t="n">
        <v>0.298535606013921</v>
      </c>
      <c r="N50" s="11" t="n">
        <v>0.774389833500301</v>
      </c>
      <c r="O50" s="12" t="n">
        <v>0.355663257152062</v>
      </c>
      <c r="P50" s="12" t="n">
        <v>0.728605835966894</v>
      </c>
      <c r="Q50" s="4" t="n">
        <f aca="false">RANK(N50,$N$7:$N$307,0)</f>
        <v>44</v>
      </c>
      <c r="R50" s="4" t="n">
        <f aca="false">RANK(O50,$O$7:$O$307,1)</f>
        <v>146</v>
      </c>
      <c r="S50" s="4" t="n">
        <f aca="false">RANK(J50,$J$7:$J$307,0)</f>
        <v>50</v>
      </c>
      <c r="T50" s="4" t="str">
        <f aca="false">IF(O50&lt;0.05,"YES","no")</f>
        <v>no</v>
      </c>
      <c r="U50" s="4" t="str">
        <f aca="false">IF(P50&lt;0.05,"YES","no")</f>
        <v>no</v>
      </c>
      <c r="V50" s="4" t="str">
        <f aca="false">IF(N50&gt;1,"YES","no")</f>
        <v>no</v>
      </c>
    </row>
    <row r="51" customFormat="false" ht="15" hidden="false" customHeight="false" outlineLevel="0" collapsed="false">
      <c r="A51" s="4" t="s">
        <v>87</v>
      </c>
      <c r="B51" s="4" t="s">
        <v>88</v>
      </c>
      <c r="C51" s="4" t="s">
        <v>61</v>
      </c>
      <c r="D51" s="8" t="n">
        <v>150.05829</v>
      </c>
      <c r="E51" s="9" t="n">
        <v>9.553</v>
      </c>
      <c r="F51" s="10" t="n">
        <v>82070426.6006266</v>
      </c>
      <c r="G51" s="10" t="n">
        <v>34061796.5577364</v>
      </c>
      <c r="H51" s="10" t="n">
        <v>89392277.4286228</v>
      </c>
      <c r="I51" s="10" t="n">
        <v>25065668.7516221</v>
      </c>
      <c r="J51" s="10" t="n">
        <v>85731352.0146247</v>
      </c>
      <c r="K51" s="11" t="n">
        <v>1.0892142411252</v>
      </c>
      <c r="L51" s="11" t="n">
        <v>0.123287750390404</v>
      </c>
      <c r="M51" s="11" t="n">
        <v>0.132917493744067</v>
      </c>
      <c r="N51" s="11" t="n">
        <v>0.761016668802523</v>
      </c>
      <c r="O51" s="12" t="n">
        <v>0.681261214792257</v>
      </c>
      <c r="P51" s="12" t="n">
        <v>0.881168181006632</v>
      </c>
      <c r="Q51" s="4" t="n">
        <f aca="false">RANK(N51,$N$7:$N$307,0)</f>
        <v>45</v>
      </c>
      <c r="R51" s="4" t="n">
        <f aca="false">RANK(O51,$O$7:$O$307,1)</f>
        <v>232</v>
      </c>
      <c r="S51" s="4" t="n">
        <f aca="false">RANK(J51,$J$7:$J$307,0)</f>
        <v>31</v>
      </c>
      <c r="T51" s="4" t="str">
        <f aca="false">IF(O51&lt;0.05,"YES","no")</f>
        <v>no</v>
      </c>
      <c r="U51" s="4" t="str">
        <f aca="false">IF(P51&lt;0.05,"YES","no")</f>
        <v>no</v>
      </c>
      <c r="V51" s="4" t="str">
        <f aca="false">IF(N51&gt;1,"YES","no")</f>
        <v>no</v>
      </c>
    </row>
    <row r="52" customFormat="false" ht="15" hidden="false" customHeight="false" outlineLevel="0" collapsed="false">
      <c r="A52" s="4" t="s">
        <v>133</v>
      </c>
      <c r="B52" s="4"/>
      <c r="C52" s="4" t="s">
        <v>61</v>
      </c>
      <c r="D52" s="8" t="n">
        <v>349.05452</v>
      </c>
      <c r="E52" s="9" t="n">
        <v>9.655</v>
      </c>
      <c r="F52" s="10" t="n">
        <v>56953336.7304792</v>
      </c>
      <c r="G52" s="10" t="n">
        <v>46166171.7350463</v>
      </c>
      <c r="H52" s="10" t="n">
        <v>74315783.9338648</v>
      </c>
      <c r="I52" s="10" t="n">
        <v>29715094.2235122</v>
      </c>
      <c r="J52" s="10" t="n">
        <v>65634560.332172</v>
      </c>
      <c r="K52" s="11" t="n">
        <v>1.30485390672631</v>
      </c>
      <c r="L52" s="11" t="n">
        <v>0.383888289676414</v>
      </c>
      <c r="M52" s="11" t="n">
        <v>0.237924540836743</v>
      </c>
      <c r="N52" s="11" t="n">
        <v>0.754459749805183</v>
      </c>
      <c r="O52" s="12" t="n">
        <v>0.459477149886057</v>
      </c>
      <c r="P52" s="12" t="n">
        <v>0.785761728112644</v>
      </c>
      <c r="Q52" s="4" t="n">
        <f aca="false">RANK(N52,$N$7:$N$307,0)</f>
        <v>46</v>
      </c>
      <c r="R52" s="4" t="n">
        <f aca="false">RANK(O52,$O$7:$O$307,1)</f>
        <v>176</v>
      </c>
      <c r="S52" s="4" t="n">
        <f aca="false">RANK(J52,$J$7:$J$307,0)</f>
        <v>34</v>
      </c>
      <c r="T52" s="4" t="str">
        <f aca="false">IF(O52&lt;0.05,"YES","no")</f>
        <v>no</v>
      </c>
      <c r="U52" s="4" t="str">
        <f aca="false">IF(P52&lt;0.05,"YES","no")</f>
        <v>no</v>
      </c>
      <c r="V52" s="4" t="str">
        <f aca="false">IF(N52&gt;1,"YES","no")</f>
        <v>no</v>
      </c>
    </row>
    <row r="53" customFormat="false" ht="15" hidden="false" customHeight="false" outlineLevel="0" collapsed="false">
      <c r="A53" s="4" t="s">
        <v>158</v>
      </c>
      <c r="B53" s="4"/>
      <c r="C53" s="4" t="s">
        <v>72</v>
      </c>
      <c r="D53" s="8" t="n">
        <v>611.14469</v>
      </c>
      <c r="E53" s="9" t="n">
        <v>10.174</v>
      </c>
      <c r="F53" s="10" t="n">
        <v>40267313.7874406</v>
      </c>
      <c r="G53" s="10" t="n">
        <v>10729976.5865429</v>
      </c>
      <c r="H53" s="10" t="n">
        <v>51309775.4606729</v>
      </c>
      <c r="I53" s="10" t="n">
        <v>18389338.1723351</v>
      </c>
      <c r="J53" s="10" t="n">
        <v>45788544.6240568</v>
      </c>
      <c r="K53" s="11" t="n">
        <v>1.27422891259949</v>
      </c>
      <c r="L53" s="11" t="n">
        <v>0.349624478069759</v>
      </c>
      <c r="M53" s="11" t="n">
        <v>0.37278473619841</v>
      </c>
      <c r="N53" s="11" t="n">
        <v>0.749930333878064</v>
      </c>
      <c r="O53" s="12" t="n">
        <v>0.239415177196656</v>
      </c>
      <c r="P53" s="12" t="n">
        <v>0.646206555801688</v>
      </c>
      <c r="Q53" s="4" t="n">
        <f aca="false">RANK(N53,$N$7:$N$307,0)</f>
        <v>47</v>
      </c>
      <c r="R53" s="4" t="n">
        <f aca="false">RANK(O53,$O$7:$O$307,1)</f>
        <v>111</v>
      </c>
      <c r="S53" s="4" t="n">
        <f aca="false">RANK(J53,$J$7:$J$307,0)</f>
        <v>44</v>
      </c>
      <c r="T53" s="4" t="str">
        <f aca="false">IF(O53&lt;0.05,"YES","no")</f>
        <v>no</v>
      </c>
      <c r="U53" s="4" t="str">
        <f aca="false">IF(P53&lt;0.05,"YES","no")</f>
        <v>no</v>
      </c>
      <c r="V53" s="4" t="str">
        <f aca="false">IF(N53&gt;1,"YES","no")</f>
        <v>no</v>
      </c>
    </row>
    <row r="54" customFormat="false" ht="15" hidden="false" customHeight="false" outlineLevel="0" collapsed="false">
      <c r="A54" s="4" t="s">
        <v>141</v>
      </c>
      <c r="B54" s="4" t="s">
        <v>142</v>
      </c>
      <c r="C54" s="4" t="s">
        <v>61</v>
      </c>
      <c r="D54" s="8" t="n">
        <v>606.07472</v>
      </c>
      <c r="E54" s="9" t="n">
        <v>8.878</v>
      </c>
      <c r="F54" s="10" t="n">
        <v>26055032.6984691</v>
      </c>
      <c r="G54" s="10" t="n">
        <v>9906064.11858269</v>
      </c>
      <c r="H54" s="10" t="n">
        <v>25256066.9535977</v>
      </c>
      <c r="I54" s="10" t="n">
        <v>13243058.0467893</v>
      </c>
      <c r="J54" s="10" t="n">
        <v>25655549.8260334</v>
      </c>
      <c r="K54" s="11" t="n">
        <v>0.969335454147472</v>
      </c>
      <c r="L54" s="11" t="n">
        <v>-0.0449320749801283</v>
      </c>
      <c r="M54" s="11" t="n">
        <v>0.0373950698352338</v>
      </c>
      <c r="N54" s="11" t="n">
        <v>0.721520716585296</v>
      </c>
      <c r="O54" s="12" t="n">
        <v>0.908328166467785</v>
      </c>
      <c r="P54" s="12" t="n">
        <v>0.949860857383464</v>
      </c>
      <c r="Q54" s="4" t="n">
        <f aca="false">RANK(N54,$N$7:$N$307,0)</f>
        <v>48</v>
      </c>
      <c r="R54" s="4" t="n">
        <f aca="false">RANK(O54,$O$7:$O$307,1)</f>
        <v>287</v>
      </c>
      <c r="S54" s="4" t="n">
        <f aca="false">RANK(J54,$J$7:$J$307,0)</f>
        <v>66</v>
      </c>
      <c r="T54" s="4" t="str">
        <f aca="false">IF(O54&lt;0.05,"YES","no")</f>
        <v>no</v>
      </c>
      <c r="U54" s="4" t="str">
        <f aca="false">IF(P54&lt;0.05,"YES","no")</f>
        <v>no</v>
      </c>
      <c r="V54" s="4" t="str">
        <f aca="false">IF(N54&gt;1,"YES","no")</f>
        <v>no</v>
      </c>
    </row>
    <row r="55" customFormat="false" ht="15" hidden="false" customHeight="false" outlineLevel="0" collapsed="false">
      <c r="A55" s="4" t="s">
        <v>156</v>
      </c>
      <c r="B55" s="4" t="s">
        <v>157</v>
      </c>
      <c r="C55" s="4" t="s">
        <v>72</v>
      </c>
      <c r="D55" s="8" t="n">
        <v>137.0709</v>
      </c>
      <c r="E55" s="9" t="n">
        <v>7.233</v>
      </c>
      <c r="F55" s="10" t="n">
        <v>51111419.1962645</v>
      </c>
      <c r="G55" s="10" t="n">
        <v>19224997.3749586</v>
      </c>
      <c r="H55" s="10" t="n">
        <v>42325362.7883363</v>
      </c>
      <c r="I55" s="10" t="n">
        <v>16462157.0356989</v>
      </c>
      <c r="J55" s="10" t="n">
        <v>46718390.9923004</v>
      </c>
      <c r="K55" s="11" t="n">
        <v>0.828099932537769</v>
      </c>
      <c r="L55" s="11" t="n">
        <v>-0.272123216683068</v>
      </c>
      <c r="M55" s="11" t="n">
        <v>0.259666861240234</v>
      </c>
      <c r="N55" s="11" t="n">
        <v>0.705836684645087</v>
      </c>
      <c r="O55" s="12" t="n">
        <v>0.41550986332128</v>
      </c>
      <c r="P55" s="12" t="n">
        <v>0.769796492382982</v>
      </c>
      <c r="Q55" s="4" t="n">
        <f aca="false">RANK(N55,$N$7:$N$307,0)</f>
        <v>49</v>
      </c>
      <c r="R55" s="4" t="n">
        <f aca="false">RANK(O55,$O$7:$O$307,1)</f>
        <v>162</v>
      </c>
      <c r="S55" s="4" t="n">
        <f aca="false">RANK(J55,$J$7:$J$307,0)</f>
        <v>43</v>
      </c>
      <c r="T55" s="4" t="str">
        <f aca="false">IF(O55&lt;0.05,"YES","no")</f>
        <v>no</v>
      </c>
      <c r="U55" s="4" t="str">
        <f aca="false">IF(P55&lt;0.05,"YES","no")</f>
        <v>no</v>
      </c>
      <c r="V55" s="4" t="str">
        <f aca="false">IF(N55&gt;1,"YES","no")</f>
        <v>no</v>
      </c>
    </row>
    <row r="56" customFormat="false" ht="15" hidden="false" customHeight="false" outlineLevel="0" collapsed="false">
      <c r="A56" s="4" t="s">
        <v>146</v>
      </c>
      <c r="B56" s="4"/>
      <c r="C56" s="4" t="s">
        <v>61</v>
      </c>
      <c r="D56" s="8" t="n">
        <v>112.05047</v>
      </c>
      <c r="E56" s="9" t="n">
        <v>9.687</v>
      </c>
      <c r="F56" s="10" t="n">
        <v>9916370.24551801</v>
      </c>
      <c r="G56" s="10" t="n">
        <v>2240651.19737877</v>
      </c>
      <c r="H56" s="10" t="n">
        <v>16210520.7256502</v>
      </c>
      <c r="I56" s="10" t="n">
        <v>5764003.28776577</v>
      </c>
      <c r="J56" s="10" t="n">
        <v>13063445.4855841</v>
      </c>
      <c r="K56" s="11" t="n">
        <v>1.63472322274141</v>
      </c>
      <c r="L56" s="11" t="n">
        <v>0.709046391698925</v>
      </c>
      <c r="M56" s="11" t="n">
        <v>0.61910983046382</v>
      </c>
      <c r="N56" s="11" t="n">
        <v>0.698966307403062</v>
      </c>
      <c r="O56" s="12" t="n">
        <v>0.0440840807842407</v>
      </c>
      <c r="P56" s="12" t="n">
        <v>0.478364863336053</v>
      </c>
      <c r="Q56" s="4" t="n">
        <f aca="false">RANK(N56,$N$7:$N$307,0)</f>
        <v>50</v>
      </c>
      <c r="R56" s="4" t="n">
        <f aca="false">RANK(O56,$O$7:$O$307,1)</f>
        <v>26</v>
      </c>
      <c r="S56" s="4" t="n">
        <f aca="false">RANK(J56,$J$7:$J$307,0)</f>
        <v>91</v>
      </c>
      <c r="T56" s="4" t="str">
        <f aca="false">IF(O56&lt;0.05,"YES","no")</f>
        <v>YES</v>
      </c>
      <c r="U56" s="4" t="str">
        <f aca="false">IF(P56&lt;0.05,"YES","no")</f>
        <v>no</v>
      </c>
      <c r="V56" s="4" t="str">
        <f aca="false">IF(N56&gt;1,"YES","no")</f>
        <v>no</v>
      </c>
    </row>
    <row r="57" customFormat="false" ht="15" hidden="false" customHeight="false" outlineLevel="0" collapsed="false">
      <c r="A57" s="4" t="s">
        <v>214</v>
      </c>
      <c r="B57" s="4"/>
      <c r="C57" s="4" t="s">
        <v>61</v>
      </c>
      <c r="D57" s="8" t="n">
        <v>135.04513</v>
      </c>
      <c r="E57" s="9" t="n">
        <v>5.018</v>
      </c>
      <c r="F57" s="10" t="n">
        <v>14678602.3012138</v>
      </c>
      <c r="G57" s="10" t="n">
        <v>4006842.19134874</v>
      </c>
      <c r="H57" s="10" t="n">
        <v>11207891.2114535</v>
      </c>
      <c r="I57" s="10" t="n">
        <v>3935270.71124526</v>
      </c>
      <c r="J57" s="10" t="n">
        <v>12943246.7563337</v>
      </c>
      <c r="K57" s="11" t="n">
        <v>0.763553026470829</v>
      </c>
      <c r="L57" s="11" t="n">
        <v>-0.389199743536413</v>
      </c>
      <c r="M57" s="11" t="n">
        <v>0.431771327416392</v>
      </c>
      <c r="N57" s="11" t="n">
        <v>0.660351208489199</v>
      </c>
      <c r="O57" s="12" t="n">
        <v>0.16104365204255</v>
      </c>
      <c r="P57" s="12" t="n">
        <v>0.59081559788972</v>
      </c>
      <c r="Q57" s="4" t="n">
        <f aca="false">RANK(N57,$N$7:$N$307,0)</f>
        <v>51</v>
      </c>
      <c r="R57" s="4" t="n">
        <f aca="false">RANK(O57,$O$7:$O$307,1)</f>
        <v>82</v>
      </c>
      <c r="S57" s="4" t="n">
        <f aca="false">RANK(J57,$J$7:$J$307,0)</f>
        <v>92</v>
      </c>
      <c r="T57" s="4" t="str">
        <f aca="false">IF(O57&lt;0.05,"YES","no")</f>
        <v>no</v>
      </c>
      <c r="U57" s="4" t="str">
        <f aca="false">IF(P57&lt;0.05,"YES","no")</f>
        <v>no</v>
      </c>
      <c r="V57" s="4" t="str">
        <f aca="false">IF(N57&gt;1,"YES","no")</f>
        <v>no</v>
      </c>
    </row>
    <row r="58" customFormat="false" ht="15" hidden="false" customHeight="false" outlineLevel="0" collapsed="false">
      <c r="A58" s="4" t="s">
        <v>223</v>
      </c>
      <c r="B58" s="4" t="s">
        <v>224</v>
      </c>
      <c r="C58" s="4" t="s">
        <v>61</v>
      </c>
      <c r="D58" s="8" t="n">
        <v>579.0272</v>
      </c>
      <c r="E58" s="9" t="n">
        <v>10.234</v>
      </c>
      <c r="F58" s="10" t="n">
        <v>4011300.82718992</v>
      </c>
      <c r="G58" s="10" t="n">
        <v>862378.206881905</v>
      </c>
      <c r="H58" s="10" t="n">
        <v>8800707.33044253</v>
      </c>
      <c r="I58" s="10" t="n">
        <v>3477900.96069364</v>
      </c>
      <c r="J58" s="10" t="n">
        <v>6406004.07881622</v>
      </c>
      <c r="K58" s="11" t="n">
        <v>2.19397838994983</v>
      </c>
      <c r="L58" s="11" t="n">
        <v>1.13354931568379</v>
      </c>
      <c r="M58" s="11" t="n">
        <v>0.719276335170405</v>
      </c>
      <c r="N58" s="11" t="n">
        <v>0.659592367197851</v>
      </c>
      <c r="O58" s="12" t="n">
        <v>0.0186692073737501</v>
      </c>
      <c r="P58" s="12" t="n">
        <v>0.478364863336053</v>
      </c>
      <c r="Q58" s="4" t="n">
        <f aca="false">RANK(N58,$N$7:$N$307,0)</f>
        <v>52</v>
      </c>
      <c r="R58" s="4" t="n">
        <f aca="false">RANK(O58,$O$7:$O$307,1)</f>
        <v>11</v>
      </c>
      <c r="S58" s="4" t="n">
        <f aca="false">RANK(J58,$J$7:$J$307,0)</f>
        <v>116</v>
      </c>
      <c r="T58" s="4" t="str">
        <f aca="false">IF(O58&lt;0.05,"YES","no")</f>
        <v>YES</v>
      </c>
      <c r="U58" s="4" t="str">
        <f aca="false">IF(P58&lt;0.05,"YES","no")</f>
        <v>no</v>
      </c>
      <c r="V58" s="4" t="str">
        <f aca="false">IF(N58&gt;1,"YES","no")</f>
        <v>no</v>
      </c>
    </row>
    <row r="59" customFormat="false" ht="15" hidden="false" customHeight="false" outlineLevel="0" collapsed="false">
      <c r="A59" s="4" t="s">
        <v>178</v>
      </c>
      <c r="B59" s="4"/>
      <c r="C59" s="4" t="s">
        <v>72</v>
      </c>
      <c r="D59" s="8" t="n">
        <v>229.15467</v>
      </c>
      <c r="E59" s="9" t="n">
        <v>9.96</v>
      </c>
      <c r="F59" s="10" t="n">
        <v>17043638.5486403</v>
      </c>
      <c r="G59" s="10" t="n">
        <v>17798889.5069542</v>
      </c>
      <c r="H59" s="10" t="n">
        <v>7798890.50012282</v>
      </c>
      <c r="I59" s="10" t="n">
        <v>3420809.31902919</v>
      </c>
      <c r="J59" s="10" t="n">
        <v>12421264.5243815</v>
      </c>
      <c r="K59" s="11" t="n">
        <v>0.457583659608001</v>
      </c>
      <c r="L59" s="11" t="n">
        <v>-1.12789256074181</v>
      </c>
      <c r="M59" s="11" t="n">
        <v>0.367454636139681</v>
      </c>
      <c r="N59" s="11" t="n">
        <v>0.654339855766758</v>
      </c>
      <c r="O59" s="12" t="n">
        <v>0.26322439148026</v>
      </c>
      <c r="P59" s="12" t="n">
        <v>0.651482536722943</v>
      </c>
      <c r="Q59" s="4" t="n">
        <f aca="false">RANK(N59,$N$7:$N$307,0)</f>
        <v>53</v>
      </c>
      <c r="R59" s="4" t="n">
        <f aca="false">RANK(O59,$O$7:$O$307,1)</f>
        <v>120</v>
      </c>
      <c r="S59" s="4" t="n">
        <f aca="false">RANK(J59,$J$7:$J$307,0)</f>
        <v>94</v>
      </c>
      <c r="T59" s="4" t="str">
        <f aca="false">IF(O59&lt;0.05,"YES","no")</f>
        <v>no</v>
      </c>
      <c r="U59" s="4" t="str">
        <f aca="false">IF(P59&lt;0.05,"YES","no")</f>
        <v>no</v>
      </c>
      <c r="V59" s="4" t="str">
        <f aca="false">IF(N59&gt;1,"YES","no")</f>
        <v>no</v>
      </c>
    </row>
    <row r="60" customFormat="false" ht="15" hidden="false" customHeight="false" outlineLevel="0" collapsed="false">
      <c r="A60" s="4" t="s">
        <v>168</v>
      </c>
      <c r="B60" s="4"/>
      <c r="C60" s="4" t="s">
        <v>61</v>
      </c>
      <c r="D60" s="8" t="n">
        <v>184.9856</v>
      </c>
      <c r="E60" s="9" t="n">
        <v>10.471</v>
      </c>
      <c r="F60" s="10" t="n">
        <v>7414247.6490903</v>
      </c>
      <c r="G60" s="10" t="n">
        <v>3669697.40321575</v>
      </c>
      <c r="H60" s="10" t="n">
        <v>3802713.01092255</v>
      </c>
      <c r="I60" s="10" t="n">
        <v>1744581.90174432</v>
      </c>
      <c r="J60" s="10" t="n">
        <v>5608480.33000642</v>
      </c>
      <c r="K60" s="11" t="n">
        <v>0.512892634681434</v>
      </c>
      <c r="L60" s="11" t="n">
        <v>-0.963271241031413</v>
      </c>
      <c r="M60" s="11" t="n">
        <v>0.567076215973601</v>
      </c>
      <c r="N60" s="11" t="n">
        <v>0.651050858854768</v>
      </c>
      <c r="O60" s="12" t="n">
        <v>0.0651097102672257</v>
      </c>
      <c r="P60" s="12" t="n">
        <v>0.537209318070623</v>
      </c>
      <c r="Q60" s="4" t="n">
        <f aca="false">RANK(N60,$N$7:$N$307,0)</f>
        <v>54</v>
      </c>
      <c r="R60" s="4" t="n">
        <f aca="false">RANK(O60,$O$7:$O$307,1)</f>
        <v>36</v>
      </c>
      <c r="S60" s="4" t="n">
        <f aca="false">RANK(J60,$J$7:$J$307,0)</f>
        <v>123</v>
      </c>
      <c r="T60" s="4" t="str">
        <f aca="false">IF(O60&lt;0.05,"YES","no")</f>
        <v>no</v>
      </c>
      <c r="U60" s="4" t="str">
        <f aca="false">IF(P60&lt;0.05,"YES","no")</f>
        <v>no</v>
      </c>
      <c r="V60" s="4" t="str">
        <f aca="false">IF(N60&gt;1,"YES","no")</f>
        <v>no</v>
      </c>
    </row>
    <row r="61" customFormat="false" ht="15" hidden="false" customHeight="false" outlineLevel="0" collapsed="false">
      <c r="A61" s="4" t="s">
        <v>90</v>
      </c>
      <c r="B61" s="4"/>
      <c r="C61" s="4" t="s">
        <v>61</v>
      </c>
      <c r="D61" s="8" t="n">
        <v>241.12961</v>
      </c>
      <c r="E61" s="9" t="n">
        <v>11.667</v>
      </c>
      <c r="F61" s="10" t="n">
        <v>18773301.6017112</v>
      </c>
      <c r="G61" s="10" t="n">
        <v>19424759.5748509</v>
      </c>
      <c r="H61" s="10" t="n">
        <v>9159904.77096147</v>
      </c>
      <c r="I61" s="10" t="n">
        <v>7316748.50107287</v>
      </c>
      <c r="J61" s="10" t="n">
        <v>13966603.1863363</v>
      </c>
      <c r="K61" s="11" t="n">
        <v>0.487921888503968</v>
      </c>
      <c r="L61" s="11" t="n">
        <v>-1.03527788990217</v>
      </c>
      <c r="M61" s="11" t="n">
        <v>0.337673860850977</v>
      </c>
      <c r="N61" s="11" t="n">
        <v>0.643686700128788</v>
      </c>
      <c r="O61" s="12" t="n">
        <v>0.297356904481565</v>
      </c>
      <c r="P61" s="12" t="n">
        <v>0.652060151640156</v>
      </c>
      <c r="Q61" s="4" t="n">
        <f aca="false">RANK(N61,$N$7:$N$307,0)</f>
        <v>55</v>
      </c>
      <c r="R61" s="4" t="n">
        <f aca="false">RANK(O61,$O$7:$O$307,1)</f>
        <v>134</v>
      </c>
      <c r="S61" s="4" t="n">
        <f aca="false">RANK(J61,$J$7:$J$307,0)</f>
        <v>89</v>
      </c>
      <c r="T61" s="4" t="str">
        <f aca="false">IF(O61&lt;0.05,"YES","no")</f>
        <v>no</v>
      </c>
      <c r="U61" s="4" t="str">
        <f aca="false">IF(P61&lt;0.05,"YES","no")</f>
        <v>no</v>
      </c>
      <c r="V61" s="4" t="str">
        <f aca="false">IF(N61&gt;1,"YES","no")</f>
        <v>no</v>
      </c>
    </row>
    <row r="62" customFormat="false" ht="15" hidden="false" customHeight="false" outlineLevel="0" collapsed="false">
      <c r="A62" s="4" t="s">
        <v>180</v>
      </c>
      <c r="B62" s="4"/>
      <c r="C62" s="4" t="s">
        <v>72</v>
      </c>
      <c r="D62" s="8" t="n">
        <v>130.04983</v>
      </c>
      <c r="E62" s="9" t="n">
        <v>8.854</v>
      </c>
      <c r="F62" s="10" t="n">
        <v>4484073.00565533</v>
      </c>
      <c r="G62" s="10" t="n">
        <v>1691023.33099571</v>
      </c>
      <c r="H62" s="10" t="n">
        <v>9630406.04090618</v>
      </c>
      <c r="I62" s="10" t="n">
        <v>4635080.03507244</v>
      </c>
      <c r="J62" s="10" t="n">
        <v>7057239.52328075</v>
      </c>
      <c r="K62" s="11" t="n">
        <v>2.14769162517209</v>
      </c>
      <c r="L62" s="11" t="n">
        <v>1.10278685981629</v>
      </c>
      <c r="M62" s="11" t="n">
        <v>0.628456023720199</v>
      </c>
      <c r="N62" s="11" t="n">
        <v>0.638195687352098</v>
      </c>
      <c r="O62" s="12" t="n">
        <v>0.0413488320985015</v>
      </c>
      <c r="P62" s="12" t="n">
        <v>0.478364863336053</v>
      </c>
      <c r="Q62" s="4" t="n">
        <f aca="false">RANK(N62,$N$7:$N$307,0)</f>
        <v>56</v>
      </c>
      <c r="R62" s="4" t="n">
        <f aca="false">RANK(O62,$O$7:$O$307,1)</f>
        <v>24</v>
      </c>
      <c r="S62" s="4" t="n">
        <f aca="false">RANK(J62,$J$7:$J$307,0)</f>
        <v>113</v>
      </c>
      <c r="T62" s="4" t="str">
        <f aca="false">IF(O62&lt;0.05,"YES","no")</f>
        <v>YES</v>
      </c>
      <c r="U62" s="4" t="str">
        <f aca="false">IF(P62&lt;0.05,"YES","no")</f>
        <v>no</v>
      </c>
      <c r="V62" s="4" t="str">
        <f aca="false">IF(N62&gt;1,"YES","no")</f>
        <v>no</v>
      </c>
    </row>
    <row r="63" customFormat="false" ht="15" hidden="false" customHeight="false" outlineLevel="0" collapsed="false">
      <c r="A63" s="4" t="s">
        <v>163</v>
      </c>
      <c r="B63" s="4" t="s">
        <v>164</v>
      </c>
      <c r="C63" s="4" t="s">
        <v>72</v>
      </c>
      <c r="D63" s="8" t="n">
        <v>87.00868</v>
      </c>
      <c r="E63" s="9" t="n">
        <v>6.813</v>
      </c>
      <c r="F63" s="10" t="n">
        <v>21286890.6975936</v>
      </c>
      <c r="G63" s="10" t="n">
        <v>7569898.18548199</v>
      </c>
      <c r="H63" s="10" t="n">
        <v>18404007.9820211</v>
      </c>
      <c r="I63" s="10" t="n">
        <v>7586011.36556601</v>
      </c>
      <c r="J63" s="10" t="n">
        <v>19845449.3398073</v>
      </c>
      <c r="K63" s="11" t="n">
        <v>0.864570041885055</v>
      </c>
      <c r="L63" s="11" t="n">
        <v>-0.209945248443819</v>
      </c>
      <c r="M63" s="11" t="n">
        <v>0.203988726459514</v>
      </c>
      <c r="N63" s="11" t="n">
        <v>0.633990536058366</v>
      </c>
      <c r="O63" s="12" t="n">
        <v>0.52482608436571</v>
      </c>
      <c r="P63" s="12" t="n">
        <v>0.822774226010826</v>
      </c>
      <c r="Q63" s="4" t="n">
        <f aca="false">RANK(N63,$N$7:$N$307,0)</f>
        <v>57</v>
      </c>
      <c r="R63" s="4" t="n">
        <f aca="false">RANK(O63,$O$7:$O$307,1)</f>
        <v>192</v>
      </c>
      <c r="S63" s="4" t="n">
        <f aca="false">RANK(J63,$J$7:$J$307,0)</f>
        <v>72</v>
      </c>
      <c r="T63" s="4" t="str">
        <f aca="false">IF(O63&lt;0.05,"YES","no")</f>
        <v>no</v>
      </c>
      <c r="U63" s="4" t="str">
        <f aca="false">IF(P63&lt;0.05,"YES","no")</f>
        <v>no</v>
      </c>
      <c r="V63" s="4" t="str">
        <f aca="false">IF(N63&gt;1,"YES","no")</f>
        <v>no</v>
      </c>
    </row>
    <row r="64" customFormat="false" ht="15" hidden="false" customHeight="false" outlineLevel="0" collapsed="false">
      <c r="A64" s="4" t="s">
        <v>93</v>
      </c>
      <c r="B64" s="4"/>
      <c r="C64" s="4" t="s">
        <v>72</v>
      </c>
      <c r="D64" s="8" t="n">
        <v>112.08688</v>
      </c>
      <c r="E64" s="9" t="n">
        <v>11.095</v>
      </c>
      <c r="F64" s="10" t="n">
        <v>25384037.2416454</v>
      </c>
      <c r="G64" s="10" t="n">
        <v>12626016.2957534</v>
      </c>
      <c r="H64" s="10" t="n">
        <v>18029471.5451571</v>
      </c>
      <c r="I64" s="10" t="n">
        <v>7973425.71981297</v>
      </c>
      <c r="J64" s="10" t="n">
        <v>21706754.3934012</v>
      </c>
      <c r="K64" s="11" t="n">
        <v>0.710268085944092</v>
      </c>
      <c r="L64" s="11" t="n">
        <v>-0.493564431873257</v>
      </c>
      <c r="M64" s="11" t="n">
        <v>0.356437553935722</v>
      </c>
      <c r="N64" s="11" t="n">
        <v>0.626859617166931</v>
      </c>
      <c r="O64" s="12" t="n">
        <v>0.260389524511277</v>
      </c>
      <c r="P64" s="12" t="n">
        <v>0.651482536722943</v>
      </c>
      <c r="Q64" s="4" t="n">
        <f aca="false">RANK(N64,$N$7:$N$307,0)</f>
        <v>58</v>
      </c>
      <c r="R64" s="4" t="n">
        <f aca="false">RANK(O64,$O$7:$O$307,1)</f>
        <v>117</v>
      </c>
      <c r="S64" s="4" t="n">
        <f aca="false">RANK(J64,$J$7:$J$307,0)</f>
        <v>69</v>
      </c>
      <c r="T64" s="4" t="str">
        <f aca="false">IF(O64&lt;0.05,"YES","no")</f>
        <v>no</v>
      </c>
      <c r="U64" s="4" t="str">
        <f aca="false">IF(P64&lt;0.05,"YES","no")</f>
        <v>no</v>
      </c>
      <c r="V64" s="4" t="str">
        <f aca="false">IF(N64&gt;1,"YES","no")</f>
        <v>no</v>
      </c>
    </row>
    <row r="65" customFormat="false" ht="15" hidden="false" customHeight="false" outlineLevel="0" collapsed="false">
      <c r="A65" s="4" t="s">
        <v>209</v>
      </c>
      <c r="B65" s="4"/>
      <c r="C65" s="4" t="s">
        <v>72</v>
      </c>
      <c r="D65" s="8" t="n">
        <v>103.04004</v>
      </c>
      <c r="E65" s="9" t="n">
        <v>8.188</v>
      </c>
      <c r="F65" s="10" t="n">
        <v>5988001.96711269</v>
      </c>
      <c r="G65" s="10" t="n">
        <v>4243921.88607007</v>
      </c>
      <c r="H65" s="10" t="n">
        <v>1927968.08206857</v>
      </c>
      <c r="I65" s="10" t="n">
        <v>625216.004092805</v>
      </c>
      <c r="J65" s="10" t="n">
        <v>3957985.02459063</v>
      </c>
      <c r="K65" s="11" t="n">
        <v>0.321971851822588</v>
      </c>
      <c r="L65" s="11" t="n">
        <v>-1.63499352769973</v>
      </c>
      <c r="M65" s="11" t="n">
        <v>0.59125216500947</v>
      </c>
      <c r="N65" s="11" t="n">
        <v>0.62227408290307</v>
      </c>
      <c r="O65" s="12" t="n">
        <v>0.0660356969056912</v>
      </c>
      <c r="P65" s="12" t="n">
        <v>0.537209318070623</v>
      </c>
      <c r="Q65" s="4" t="n">
        <f aca="false">RANK(N65,$N$7:$N$307,0)</f>
        <v>59</v>
      </c>
      <c r="R65" s="4" t="n">
        <f aca="false">RANK(O65,$O$7:$O$307,1)</f>
        <v>37</v>
      </c>
      <c r="S65" s="4" t="n">
        <f aca="false">RANK(J65,$J$7:$J$307,0)</f>
        <v>140</v>
      </c>
      <c r="T65" s="4" t="str">
        <f aca="false">IF(O65&lt;0.05,"YES","no")</f>
        <v>no</v>
      </c>
      <c r="U65" s="4" t="str">
        <f aca="false">IF(P65&lt;0.05,"YES","no")</f>
        <v>no</v>
      </c>
      <c r="V65" s="4" t="str">
        <f aca="false">IF(N65&gt;1,"YES","no")</f>
        <v>no</v>
      </c>
    </row>
    <row r="66" customFormat="false" ht="15" hidden="false" customHeight="false" outlineLevel="0" collapsed="false">
      <c r="A66" s="4" t="s">
        <v>131</v>
      </c>
      <c r="B66" s="4"/>
      <c r="C66" s="4" t="s">
        <v>61</v>
      </c>
      <c r="D66" s="8" t="n">
        <v>323.02841</v>
      </c>
      <c r="E66" s="9" t="n">
        <v>9.303</v>
      </c>
      <c r="F66" s="10" t="n">
        <v>22827509.653542</v>
      </c>
      <c r="G66" s="10" t="n">
        <v>5702546.13246823</v>
      </c>
      <c r="H66" s="10" t="n">
        <v>29231006.1912243</v>
      </c>
      <c r="I66" s="10" t="n">
        <v>7047711.04574805</v>
      </c>
      <c r="J66" s="10" t="n">
        <v>26029257.9223832</v>
      </c>
      <c r="K66" s="11" t="n">
        <v>1.28051665008008</v>
      </c>
      <c r="L66" s="11" t="n">
        <v>0.35672601188251</v>
      </c>
      <c r="M66" s="11" t="n">
        <v>0.479980055729627</v>
      </c>
      <c r="N66" s="11" t="n">
        <v>0.622010279401957</v>
      </c>
      <c r="O66" s="12" t="n">
        <v>0.115608288580654</v>
      </c>
      <c r="P66" s="12" t="n">
        <v>0.569996631753627</v>
      </c>
      <c r="Q66" s="4" t="n">
        <f aca="false">RANK(N66,$N$7:$N$307,0)</f>
        <v>60</v>
      </c>
      <c r="R66" s="4" t="n">
        <f aca="false">RANK(O66,$O$7:$O$307,1)</f>
        <v>60</v>
      </c>
      <c r="S66" s="4" t="n">
        <f aca="false">RANK(J66,$J$7:$J$307,0)</f>
        <v>64</v>
      </c>
      <c r="T66" s="4" t="str">
        <f aca="false">IF(O66&lt;0.05,"YES","no")</f>
        <v>no</v>
      </c>
      <c r="U66" s="4" t="str">
        <f aca="false">IF(P66&lt;0.05,"YES","no")</f>
        <v>no</v>
      </c>
      <c r="V66" s="4" t="str">
        <f aca="false">IF(N66&gt;1,"YES","no")</f>
        <v>no</v>
      </c>
    </row>
    <row r="67" customFormat="false" ht="15" hidden="false" customHeight="false" outlineLevel="0" collapsed="false">
      <c r="A67" s="4" t="s">
        <v>147</v>
      </c>
      <c r="B67" s="4" t="s">
        <v>148</v>
      </c>
      <c r="C67" s="4" t="s">
        <v>61</v>
      </c>
      <c r="D67" s="8" t="n">
        <v>110.02696</v>
      </c>
      <c r="E67" s="9" t="n">
        <v>11.333</v>
      </c>
      <c r="F67" s="10" t="n">
        <v>19966073.2267876</v>
      </c>
      <c r="G67" s="10" t="n">
        <v>11244335.1736657</v>
      </c>
      <c r="H67" s="10" t="n">
        <v>22370307.0741915</v>
      </c>
      <c r="I67" s="10" t="n">
        <v>28272021.4962248</v>
      </c>
      <c r="J67" s="10" t="n">
        <v>21168190.1504895</v>
      </c>
      <c r="K67" s="11" t="n">
        <v>1.12041595861615</v>
      </c>
      <c r="L67" s="11" t="n">
        <v>0.164034437661453</v>
      </c>
      <c r="M67" s="11" t="n">
        <v>0.0610935389543189</v>
      </c>
      <c r="N67" s="11" t="n">
        <v>0.610490472004214</v>
      </c>
      <c r="O67" s="12" t="n">
        <v>0.852393660991782</v>
      </c>
      <c r="P67" s="12" t="n">
        <v>0.923481941786446</v>
      </c>
      <c r="Q67" s="4" t="n">
        <f aca="false">RANK(N67,$N$7:$N$307,0)</f>
        <v>61</v>
      </c>
      <c r="R67" s="4" t="n">
        <f aca="false">RANK(O67,$O$7:$O$307,1)</f>
        <v>276</v>
      </c>
      <c r="S67" s="4" t="n">
        <f aca="false">RANK(J67,$J$7:$J$307,0)</f>
        <v>71</v>
      </c>
      <c r="T67" s="4" t="str">
        <f aca="false">IF(O67&lt;0.05,"YES","no")</f>
        <v>no</v>
      </c>
      <c r="U67" s="4" t="str">
        <f aca="false">IF(P67&lt;0.05,"YES","no")</f>
        <v>no</v>
      </c>
      <c r="V67" s="4" t="str">
        <f aca="false">IF(N67&gt;1,"YES","no")</f>
        <v>no</v>
      </c>
    </row>
    <row r="68" customFormat="false" ht="15" hidden="false" customHeight="false" outlineLevel="0" collapsed="false">
      <c r="A68" s="4" t="s">
        <v>115</v>
      </c>
      <c r="B68" s="4"/>
      <c r="C68" s="4" t="s">
        <v>61</v>
      </c>
      <c r="D68" s="8" t="n">
        <v>175.0248</v>
      </c>
      <c r="E68" s="9" t="n">
        <v>9.306</v>
      </c>
      <c r="F68" s="10" t="n">
        <v>54192577.0552983</v>
      </c>
      <c r="G68" s="10" t="n">
        <v>6405601.92608959</v>
      </c>
      <c r="H68" s="10" t="n">
        <v>62074021.8730161</v>
      </c>
      <c r="I68" s="10" t="n">
        <v>13642242.9895804</v>
      </c>
      <c r="J68" s="10" t="n">
        <v>58133299.4641572</v>
      </c>
      <c r="K68" s="11" t="n">
        <v>1.1454340289017</v>
      </c>
      <c r="L68" s="11" t="n">
        <v>0.195894369234348</v>
      </c>
      <c r="M68" s="11" t="n">
        <v>0.375439704570575</v>
      </c>
      <c r="N68" s="11" t="n">
        <v>0.60851104845164</v>
      </c>
      <c r="O68" s="12" t="n">
        <v>0.240448950995977</v>
      </c>
      <c r="P68" s="12" t="n">
        <v>0.646206555801688</v>
      </c>
      <c r="Q68" s="4" t="n">
        <f aca="false">RANK(N68,$N$7:$N$307,0)</f>
        <v>62</v>
      </c>
      <c r="R68" s="4" t="n">
        <f aca="false">RANK(O68,$O$7:$O$307,1)</f>
        <v>112</v>
      </c>
      <c r="S68" s="4" t="n">
        <f aca="false">RANK(J68,$J$7:$J$307,0)</f>
        <v>41</v>
      </c>
      <c r="T68" s="4" t="str">
        <f aca="false">IF(O68&lt;0.05,"YES","no")</f>
        <v>no</v>
      </c>
      <c r="U68" s="4" t="str">
        <f aca="false">IF(P68&lt;0.05,"YES","no")</f>
        <v>no</v>
      </c>
      <c r="V68" s="4" t="str">
        <f aca="false">IF(N68&gt;1,"YES","no")</f>
        <v>no</v>
      </c>
    </row>
    <row r="69" customFormat="false" ht="15" hidden="false" customHeight="false" outlineLevel="0" collapsed="false">
      <c r="A69" s="4" t="s">
        <v>216</v>
      </c>
      <c r="B69" s="4"/>
      <c r="C69" s="4" t="s">
        <v>72</v>
      </c>
      <c r="D69" s="8" t="n">
        <v>140.01177</v>
      </c>
      <c r="E69" s="9" t="n">
        <v>11</v>
      </c>
      <c r="F69" s="10" t="n">
        <v>7641773.73956363</v>
      </c>
      <c r="G69" s="10" t="n">
        <v>1944342.6932885</v>
      </c>
      <c r="H69" s="10" t="n">
        <v>4571361.93292339</v>
      </c>
      <c r="I69" s="10" t="n">
        <v>1083253.15048875</v>
      </c>
      <c r="J69" s="10" t="n">
        <v>6106567.83624351</v>
      </c>
      <c r="K69" s="11" t="n">
        <v>0.598206920110204</v>
      </c>
      <c r="L69" s="11" t="n">
        <v>-0.741283495110593</v>
      </c>
      <c r="M69" s="11" t="n">
        <v>0.730141661161103</v>
      </c>
      <c r="N69" s="11" t="n">
        <v>0.604808134417314</v>
      </c>
      <c r="O69" s="12" t="n">
        <v>0.00996255331037895</v>
      </c>
      <c r="P69" s="12" t="n">
        <v>0.4478778750797</v>
      </c>
      <c r="Q69" s="4" t="n">
        <f aca="false">RANK(N69,$N$7:$N$307,0)</f>
        <v>63</v>
      </c>
      <c r="R69" s="4" t="n">
        <f aca="false">RANK(O69,$O$7:$O$307,1)</f>
        <v>6</v>
      </c>
      <c r="S69" s="4" t="n">
        <f aca="false">RANK(J69,$J$7:$J$307,0)</f>
        <v>120</v>
      </c>
      <c r="T69" s="4" t="str">
        <f aca="false">IF(O69&lt;0.05,"YES","no")</f>
        <v>YES</v>
      </c>
      <c r="U69" s="4" t="str">
        <f aca="false">IF(P69&lt;0.05,"YES","no")</f>
        <v>no</v>
      </c>
      <c r="V69" s="4" t="str">
        <f aca="false">IF(N69&gt;1,"YES","no")</f>
        <v>no</v>
      </c>
    </row>
    <row r="70" customFormat="false" ht="15" hidden="false" customHeight="false" outlineLevel="0" collapsed="false">
      <c r="A70" s="4" t="s">
        <v>108</v>
      </c>
      <c r="B70" s="4"/>
      <c r="C70" s="4" t="s">
        <v>61</v>
      </c>
      <c r="D70" s="8" t="n">
        <v>227.11387</v>
      </c>
      <c r="E70" s="9" t="n">
        <v>11.951</v>
      </c>
      <c r="F70" s="10" t="n">
        <v>9558734.14166313</v>
      </c>
      <c r="G70" s="10" t="n">
        <v>10577465.6146766</v>
      </c>
      <c r="H70" s="10" t="n">
        <v>3009671.5364122</v>
      </c>
      <c r="I70" s="10" t="n">
        <v>2202474.09861366</v>
      </c>
      <c r="J70" s="10" t="n">
        <v>6284202.83903766</v>
      </c>
      <c r="K70" s="11" t="n">
        <v>0.314860889716988</v>
      </c>
      <c r="L70" s="11" t="n">
        <v>-1.66721352990549</v>
      </c>
      <c r="M70" s="11" t="n">
        <v>0.425007312889214</v>
      </c>
      <c r="N70" s="11" t="n">
        <v>0.602843453460928</v>
      </c>
      <c r="O70" s="12" t="n">
        <v>0.193173677039824</v>
      </c>
      <c r="P70" s="12" t="n">
        <v>0.599379145333456</v>
      </c>
      <c r="Q70" s="4" t="n">
        <f aca="false">RANK(N70,$N$7:$N$307,0)</f>
        <v>64</v>
      </c>
      <c r="R70" s="4" t="n">
        <f aca="false">RANK(O70,$O$7:$O$307,1)</f>
        <v>97</v>
      </c>
      <c r="S70" s="4" t="n">
        <f aca="false">RANK(J70,$J$7:$J$307,0)</f>
        <v>117</v>
      </c>
      <c r="T70" s="4" t="str">
        <f aca="false">IF(O70&lt;0.05,"YES","no")</f>
        <v>no</v>
      </c>
      <c r="U70" s="4" t="str">
        <f aca="false">IF(P70&lt;0.05,"YES","no")</f>
        <v>no</v>
      </c>
      <c r="V70" s="4" t="str">
        <f aca="false">IF(N70&gt;1,"YES","no")</f>
        <v>no</v>
      </c>
    </row>
    <row r="71" customFormat="false" ht="15" hidden="false" customHeight="false" outlineLevel="0" collapsed="false">
      <c r="A71" s="4" t="s">
        <v>190</v>
      </c>
      <c r="B71" s="4" t="s">
        <v>191</v>
      </c>
      <c r="C71" s="4" t="s">
        <v>61</v>
      </c>
      <c r="D71" s="8" t="n">
        <v>244.09276</v>
      </c>
      <c r="E71" s="9" t="n">
        <v>9.689</v>
      </c>
      <c r="F71" s="10" t="n">
        <v>5696458.82279352</v>
      </c>
      <c r="G71" s="10" t="n">
        <v>1472804.95022022</v>
      </c>
      <c r="H71" s="10" t="n">
        <v>10392388.6719657</v>
      </c>
      <c r="I71" s="10" t="n">
        <v>4455738.31425769</v>
      </c>
      <c r="J71" s="10" t="n">
        <v>8044423.74737962</v>
      </c>
      <c r="K71" s="11" t="n">
        <v>1.82435948283908</v>
      </c>
      <c r="L71" s="11" t="n">
        <v>0.867390034880645</v>
      </c>
      <c r="M71" s="11" t="n">
        <v>0.612624244156321</v>
      </c>
      <c r="N71" s="11" t="n">
        <v>0.601849273638944</v>
      </c>
      <c r="O71" s="12" t="n">
        <v>0.0491899405642218</v>
      </c>
      <c r="P71" s="12" t="n">
        <v>0.478364863336053</v>
      </c>
      <c r="Q71" s="4" t="n">
        <f aca="false">RANK(N71,$N$7:$N$307,0)</f>
        <v>65</v>
      </c>
      <c r="R71" s="4" t="n">
        <f aca="false">RANK(O71,$O$7:$O$307,1)</f>
        <v>30</v>
      </c>
      <c r="S71" s="4" t="n">
        <f aca="false">RANK(J71,$J$7:$J$307,0)</f>
        <v>108</v>
      </c>
      <c r="T71" s="4" t="str">
        <f aca="false">IF(O71&lt;0.05,"YES","no")</f>
        <v>YES</v>
      </c>
      <c r="U71" s="4" t="str">
        <f aca="false">IF(P71&lt;0.05,"YES","no")</f>
        <v>no</v>
      </c>
      <c r="V71" s="4" t="str">
        <f aca="false">IF(N71&gt;1,"YES","no")</f>
        <v>no</v>
      </c>
    </row>
    <row r="72" customFormat="false" ht="15" hidden="false" customHeight="false" outlineLevel="0" collapsed="false">
      <c r="A72" s="4" t="s">
        <v>253</v>
      </c>
      <c r="B72" s="4"/>
      <c r="C72" s="4" t="s">
        <v>61</v>
      </c>
      <c r="D72" s="8" t="n">
        <v>212.04317</v>
      </c>
      <c r="E72" s="9" t="n">
        <v>9.518</v>
      </c>
      <c r="F72" s="10" t="n">
        <v>6193389.92080683</v>
      </c>
      <c r="G72" s="10" t="n">
        <v>7846924.85326055</v>
      </c>
      <c r="H72" s="10" t="n">
        <v>600512.21899418</v>
      </c>
      <c r="I72" s="10" t="n">
        <v>542614.038164763</v>
      </c>
      <c r="J72" s="10" t="n">
        <v>3396951.06990051</v>
      </c>
      <c r="K72" s="11" t="n">
        <v>0.0969601828195487</v>
      </c>
      <c r="L72" s="11" t="n">
        <v>-3.36646377074307</v>
      </c>
      <c r="M72" s="11" t="n">
        <v>0.482441022816335</v>
      </c>
      <c r="N72" s="11" t="n">
        <v>0.593182452445669</v>
      </c>
      <c r="O72" s="12" t="n">
        <v>0.141476415016162</v>
      </c>
      <c r="P72" s="12" t="n">
        <v>0.59081559788972</v>
      </c>
      <c r="Q72" s="4" t="n">
        <f aca="false">RANK(N72,$N$7:$N$307,0)</f>
        <v>66</v>
      </c>
      <c r="R72" s="4" t="n">
        <f aca="false">RANK(O72,$O$7:$O$307,1)</f>
        <v>69</v>
      </c>
      <c r="S72" s="4" t="n">
        <f aca="false">RANK(J72,$J$7:$J$307,0)</f>
        <v>146</v>
      </c>
      <c r="T72" s="4" t="str">
        <f aca="false">IF(O72&lt;0.05,"YES","no")</f>
        <v>no</v>
      </c>
      <c r="U72" s="4" t="str">
        <f aca="false">IF(P72&lt;0.05,"YES","no")</f>
        <v>no</v>
      </c>
      <c r="V72" s="4" t="str">
        <f aca="false">IF(N72&gt;1,"YES","no")</f>
        <v>no</v>
      </c>
    </row>
    <row r="73" customFormat="false" ht="15" hidden="false" customHeight="false" outlineLevel="0" collapsed="false">
      <c r="A73" s="4" t="s">
        <v>99</v>
      </c>
      <c r="B73" s="4"/>
      <c r="C73" s="4" t="s">
        <v>61</v>
      </c>
      <c r="D73" s="8" t="n">
        <v>269.08805</v>
      </c>
      <c r="E73" s="9" t="n">
        <v>8.957</v>
      </c>
      <c r="F73" s="10" t="n">
        <v>14264162.0124837</v>
      </c>
      <c r="G73" s="10" t="n">
        <v>6811101.91762762</v>
      </c>
      <c r="H73" s="10" t="n">
        <v>20438750.3143291</v>
      </c>
      <c r="I73" s="10" t="n">
        <v>7126968.73919073</v>
      </c>
      <c r="J73" s="10" t="n">
        <v>17351456.1634064</v>
      </c>
      <c r="K73" s="11" t="n">
        <v>1.43287424080304</v>
      </c>
      <c r="L73" s="11" t="n">
        <v>0.51891199401635</v>
      </c>
      <c r="M73" s="11" t="n">
        <v>0.436500001532235</v>
      </c>
      <c r="N73" s="11" t="n">
        <v>0.589087756283385</v>
      </c>
      <c r="O73" s="12" t="n">
        <v>0.156048853313065</v>
      </c>
      <c r="P73" s="12" t="n">
        <v>0.59081559788972</v>
      </c>
      <c r="Q73" s="4" t="n">
        <f aca="false">RANK(N73,$N$7:$N$307,0)</f>
        <v>67</v>
      </c>
      <c r="R73" s="4" t="n">
        <f aca="false">RANK(O73,$O$7:$O$307,1)</f>
        <v>77</v>
      </c>
      <c r="S73" s="4" t="n">
        <f aca="false">RANK(J73,$J$7:$J$307,0)</f>
        <v>79</v>
      </c>
      <c r="T73" s="4" t="str">
        <f aca="false">IF(O73&lt;0.05,"YES","no")</f>
        <v>no</v>
      </c>
      <c r="U73" s="4" t="str">
        <f aca="false">IF(P73&lt;0.05,"YES","no")</f>
        <v>no</v>
      </c>
      <c r="V73" s="4" t="str">
        <f aca="false">IF(N73&gt;1,"YES","no")</f>
        <v>no</v>
      </c>
    </row>
    <row r="74" customFormat="false" ht="15" hidden="false" customHeight="false" outlineLevel="0" collapsed="false">
      <c r="A74" s="4" t="s">
        <v>193</v>
      </c>
      <c r="B74" s="4" t="s">
        <v>194</v>
      </c>
      <c r="C74" s="4" t="s">
        <v>72</v>
      </c>
      <c r="D74" s="8" t="n">
        <v>123.05519</v>
      </c>
      <c r="E74" s="9" t="n">
        <v>7.786</v>
      </c>
      <c r="F74" s="10" t="n">
        <v>38281476.9922158</v>
      </c>
      <c r="G74" s="10" t="n">
        <v>8931608.86806506</v>
      </c>
      <c r="H74" s="10" t="n">
        <v>37486846.5951867</v>
      </c>
      <c r="I74" s="10" t="n">
        <v>13876477.8754703</v>
      </c>
      <c r="J74" s="10" t="n">
        <v>37884161.7937012</v>
      </c>
      <c r="K74" s="11" t="n">
        <v>0.979242431079899</v>
      </c>
      <c r="L74" s="11" t="n">
        <v>-0.0302620227817471</v>
      </c>
      <c r="M74" s="11" t="n">
        <v>0.0372727086227308</v>
      </c>
      <c r="N74" s="11" t="n">
        <v>0.582365016955055</v>
      </c>
      <c r="O74" s="12" t="n">
        <v>0.908836966533015</v>
      </c>
      <c r="P74" s="12" t="n">
        <v>0.949860857383464</v>
      </c>
      <c r="Q74" s="4" t="n">
        <f aca="false">RANK(N74,$N$7:$N$307,0)</f>
        <v>68</v>
      </c>
      <c r="R74" s="4" t="n">
        <f aca="false">RANK(O74,$O$7:$O$307,1)</f>
        <v>288</v>
      </c>
      <c r="S74" s="4" t="n">
        <f aca="false">RANK(J74,$J$7:$J$307,0)</f>
        <v>49</v>
      </c>
      <c r="T74" s="4" t="str">
        <f aca="false">IF(O74&lt;0.05,"YES","no")</f>
        <v>no</v>
      </c>
      <c r="U74" s="4" t="str">
        <f aca="false">IF(P74&lt;0.05,"YES","no")</f>
        <v>no</v>
      </c>
      <c r="V74" s="4" t="str">
        <f aca="false">IF(N74&gt;1,"YES","no")</f>
        <v>no</v>
      </c>
    </row>
    <row r="75" customFormat="false" ht="15" hidden="false" customHeight="false" outlineLevel="0" collapsed="false">
      <c r="A75" s="4" t="s">
        <v>179</v>
      </c>
      <c r="B75" s="4"/>
      <c r="C75" s="4" t="s">
        <v>61</v>
      </c>
      <c r="D75" s="8" t="n">
        <v>362.05046</v>
      </c>
      <c r="E75" s="9" t="n">
        <v>10.29</v>
      </c>
      <c r="F75" s="10" t="n">
        <v>32878554.7503557</v>
      </c>
      <c r="G75" s="10" t="n">
        <v>6973166.35621437</v>
      </c>
      <c r="H75" s="10" t="n">
        <v>38895295.0293765</v>
      </c>
      <c r="I75" s="10" t="n">
        <v>9890315.96605714</v>
      </c>
      <c r="J75" s="10" t="n">
        <v>35886924.8898661</v>
      </c>
      <c r="K75" s="11" t="n">
        <v>1.18299892816778</v>
      </c>
      <c r="L75" s="11" t="n">
        <v>0.242448766553671</v>
      </c>
      <c r="M75" s="11" t="n">
        <v>0.359393526541477</v>
      </c>
      <c r="N75" s="11" t="n">
        <v>0.578079356464253</v>
      </c>
      <c r="O75" s="12" t="n">
        <v>0.254283534280333</v>
      </c>
      <c r="P75" s="12" t="n">
        <v>0.651482536722943</v>
      </c>
      <c r="Q75" s="4" t="n">
        <f aca="false">RANK(N75,$N$7:$N$307,0)</f>
        <v>69</v>
      </c>
      <c r="R75" s="4" t="n">
        <f aca="false">RANK(O75,$O$7:$O$307,1)</f>
        <v>115</v>
      </c>
      <c r="S75" s="4" t="n">
        <f aca="false">RANK(J75,$J$7:$J$307,0)</f>
        <v>52</v>
      </c>
      <c r="T75" s="4" t="str">
        <f aca="false">IF(O75&lt;0.05,"YES","no")</f>
        <v>no</v>
      </c>
      <c r="U75" s="4" t="str">
        <f aca="false">IF(P75&lt;0.05,"YES","no")</f>
        <v>no</v>
      </c>
      <c r="V75" s="4" t="str">
        <f aca="false">IF(N75&gt;1,"YES","no")</f>
        <v>no</v>
      </c>
    </row>
    <row r="76" customFormat="false" ht="15" hidden="false" customHeight="false" outlineLevel="0" collapsed="false">
      <c r="A76" s="4" t="s">
        <v>162</v>
      </c>
      <c r="B76" s="4"/>
      <c r="C76" s="4" t="s">
        <v>72</v>
      </c>
      <c r="D76" s="8" t="n">
        <v>227.20158</v>
      </c>
      <c r="E76" s="9" t="n">
        <v>3.747</v>
      </c>
      <c r="F76" s="10" t="n">
        <v>41957266.8169734</v>
      </c>
      <c r="G76" s="10" t="n">
        <v>27642676.4638042</v>
      </c>
      <c r="H76" s="10" t="n">
        <v>37186848.4306453</v>
      </c>
      <c r="I76" s="10" t="n">
        <v>8231698.07769909</v>
      </c>
      <c r="J76" s="10" t="n">
        <v>39572057.6238094</v>
      </c>
      <c r="K76" s="11" t="n">
        <v>0.886302927997248</v>
      </c>
      <c r="L76" s="11" t="n">
        <v>-0.174128215492482</v>
      </c>
      <c r="M76" s="11" t="n">
        <v>0.127076993048859</v>
      </c>
      <c r="N76" s="11" t="n">
        <v>0.555839335095524</v>
      </c>
      <c r="O76" s="12" t="n">
        <v>0.699703956268418</v>
      </c>
      <c r="P76" s="12" t="n">
        <v>0.892351479647869</v>
      </c>
      <c r="Q76" s="4" t="n">
        <f aca="false">RANK(N76,$N$7:$N$307,0)</f>
        <v>70</v>
      </c>
      <c r="R76" s="4" t="n">
        <f aca="false">RANK(O76,$O$7:$O$307,1)</f>
        <v>236</v>
      </c>
      <c r="S76" s="4" t="n">
        <f aca="false">RANK(J76,$J$7:$J$307,0)</f>
        <v>48</v>
      </c>
      <c r="T76" s="4" t="str">
        <f aca="false">IF(O76&lt;0.05,"YES","no")</f>
        <v>no</v>
      </c>
      <c r="U76" s="4" t="str">
        <f aca="false">IF(P76&lt;0.05,"YES","no")</f>
        <v>no</v>
      </c>
      <c r="V76" s="4" t="str">
        <f aca="false">IF(N76&gt;1,"YES","no")</f>
        <v>no</v>
      </c>
    </row>
    <row r="77" customFormat="false" ht="15" hidden="false" customHeight="false" outlineLevel="0" collapsed="false">
      <c r="A77" s="4" t="s">
        <v>100</v>
      </c>
      <c r="B77" s="4" t="s">
        <v>101</v>
      </c>
      <c r="C77" s="4" t="s">
        <v>61</v>
      </c>
      <c r="D77" s="8" t="n">
        <v>182.08114</v>
      </c>
      <c r="E77" s="9" t="n">
        <v>10.237</v>
      </c>
      <c r="F77" s="10" t="n">
        <v>28634381.5174886</v>
      </c>
      <c r="G77" s="10" t="n">
        <v>8839715.58820128</v>
      </c>
      <c r="H77" s="10" t="n">
        <v>23125870.2116285</v>
      </c>
      <c r="I77" s="10" t="n">
        <v>5943352.26351864</v>
      </c>
      <c r="J77" s="10" t="n">
        <v>25880125.8645586</v>
      </c>
      <c r="K77" s="11" t="n">
        <v>0.807625972207718</v>
      </c>
      <c r="L77" s="11" t="n">
        <v>-0.308240788263572</v>
      </c>
      <c r="M77" s="11" t="n">
        <v>0.371848539451513</v>
      </c>
      <c r="N77" s="11" t="n">
        <v>0.548683314652673</v>
      </c>
      <c r="O77" s="12" t="n">
        <v>0.23792035088343</v>
      </c>
      <c r="P77" s="12" t="n">
        <v>0.646206555801688</v>
      </c>
      <c r="Q77" s="4" t="n">
        <f aca="false">RANK(N77,$N$7:$N$307,0)</f>
        <v>71</v>
      </c>
      <c r="R77" s="4" t="n">
        <f aca="false">RANK(O77,$O$7:$O$307,1)</f>
        <v>109</v>
      </c>
      <c r="S77" s="4" t="n">
        <f aca="false">RANK(J77,$J$7:$J$307,0)</f>
        <v>65</v>
      </c>
      <c r="T77" s="4" t="str">
        <f aca="false">IF(O77&lt;0.05,"YES","no")</f>
        <v>no</v>
      </c>
      <c r="U77" s="4" t="str">
        <f aca="false">IF(P77&lt;0.05,"YES","no")</f>
        <v>no</v>
      </c>
      <c r="V77" s="4" t="str">
        <f aca="false">IF(N77&gt;1,"YES","no")</f>
        <v>no</v>
      </c>
    </row>
    <row r="78" customFormat="false" ht="15" hidden="false" customHeight="false" outlineLevel="0" collapsed="false">
      <c r="A78" s="4" t="s">
        <v>265</v>
      </c>
      <c r="B78" s="4"/>
      <c r="C78" s="4" t="s">
        <v>61</v>
      </c>
      <c r="D78" s="8" t="n">
        <v>276.14413</v>
      </c>
      <c r="E78" s="9" t="n">
        <v>9.52</v>
      </c>
      <c r="F78" s="10" t="n">
        <v>5249441.34649449</v>
      </c>
      <c r="G78" s="10" t="n">
        <v>3341265.17373233</v>
      </c>
      <c r="H78" s="10" t="n">
        <v>10013089.4578113</v>
      </c>
      <c r="I78" s="10" t="n">
        <v>6458630.35286472</v>
      </c>
      <c r="J78" s="10" t="n">
        <v>7631265.40215288</v>
      </c>
      <c r="K78" s="11" t="n">
        <v>1.90745810780377</v>
      </c>
      <c r="L78" s="11" t="n">
        <v>0.931651372484488</v>
      </c>
      <c r="M78" s="11" t="n">
        <v>0.452507875617428</v>
      </c>
      <c r="N78" s="11" t="n">
        <v>0.542009083109085</v>
      </c>
      <c r="O78" s="12" t="n">
        <v>0.14976410733144</v>
      </c>
      <c r="P78" s="12" t="n">
        <v>0.59081559788972</v>
      </c>
      <c r="Q78" s="4" t="n">
        <f aca="false">RANK(N78,$N$7:$N$307,0)</f>
        <v>72</v>
      </c>
      <c r="R78" s="4" t="n">
        <f aca="false">RANK(O78,$O$7:$O$307,1)</f>
        <v>74</v>
      </c>
      <c r="S78" s="4" t="n">
        <f aca="false">RANK(J78,$J$7:$J$307,0)</f>
        <v>110</v>
      </c>
      <c r="T78" s="4" t="str">
        <f aca="false">IF(O78&lt;0.05,"YES","no")</f>
        <v>no</v>
      </c>
      <c r="U78" s="4" t="str">
        <f aca="false">IF(P78&lt;0.05,"YES","no")</f>
        <v>no</v>
      </c>
      <c r="V78" s="4" t="str">
        <f aca="false">IF(N78&gt;1,"YES","no")</f>
        <v>no</v>
      </c>
    </row>
    <row r="79" customFormat="false" ht="15" hidden="false" customHeight="false" outlineLevel="0" collapsed="false">
      <c r="A79" s="4" t="s">
        <v>226</v>
      </c>
      <c r="B79" s="4"/>
      <c r="C79" s="4" t="s">
        <v>61</v>
      </c>
      <c r="D79" s="8" t="n">
        <v>786.16461</v>
      </c>
      <c r="E79" s="9" t="n">
        <v>7.79</v>
      </c>
      <c r="F79" s="10" t="n">
        <v>29865029.0111117</v>
      </c>
      <c r="G79" s="10" t="n">
        <v>11615692.4179174</v>
      </c>
      <c r="H79" s="10" t="n">
        <v>36119567.4043007</v>
      </c>
      <c r="I79" s="10" t="n">
        <v>12440595.8058858</v>
      </c>
      <c r="J79" s="10" t="n">
        <v>32992298.2077062</v>
      </c>
      <c r="K79" s="11" t="n">
        <v>1.20942683132375</v>
      </c>
      <c r="L79" s="11" t="n">
        <v>0.274323490872673</v>
      </c>
      <c r="M79" s="11" t="n">
        <v>0.27376931843389</v>
      </c>
      <c r="N79" s="11" t="n">
        <v>0.541710349877056</v>
      </c>
      <c r="O79" s="12" t="n">
        <v>0.389313481995153</v>
      </c>
      <c r="P79" s="12" t="n">
        <v>0.749888981947654</v>
      </c>
      <c r="Q79" s="4" t="n">
        <f aca="false">RANK(N79,$N$7:$N$307,0)</f>
        <v>73</v>
      </c>
      <c r="R79" s="4" t="n">
        <f aca="false">RANK(O79,$O$7:$O$307,1)</f>
        <v>156</v>
      </c>
      <c r="S79" s="4" t="n">
        <f aca="false">RANK(J79,$J$7:$J$307,0)</f>
        <v>56</v>
      </c>
      <c r="T79" s="4" t="str">
        <f aca="false">IF(O79&lt;0.05,"YES","no")</f>
        <v>no</v>
      </c>
      <c r="U79" s="4" t="str">
        <f aca="false">IF(P79&lt;0.05,"YES","no")</f>
        <v>no</v>
      </c>
      <c r="V79" s="4" t="str">
        <f aca="false">IF(N79&gt;1,"YES","no")</f>
        <v>no</v>
      </c>
    </row>
    <row r="80" customFormat="false" ht="15" hidden="false" customHeight="false" outlineLevel="0" collapsed="false">
      <c r="A80" s="4" t="s">
        <v>200</v>
      </c>
      <c r="B80" s="4"/>
      <c r="C80" s="4" t="s">
        <v>61</v>
      </c>
      <c r="D80" s="8" t="n">
        <v>426.02172</v>
      </c>
      <c r="E80" s="9" t="n">
        <v>10.067</v>
      </c>
      <c r="F80" s="10" t="n">
        <v>30510820.2944737</v>
      </c>
      <c r="G80" s="10" t="n">
        <v>9640831.3619235</v>
      </c>
      <c r="H80" s="10" t="n">
        <v>30377788.4033511</v>
      </c>
      <c r="I80" s="10" t="n">
        <v>12857956.4900364</v>
      </c>
      <c r="J80" s="10" t="n">
        <v>30444304.3489124</v>
      </c>
      <c r="K80" s="11" t="n">
        <v>0.995639845476502</v>
      </c>
      <c r="L80" s="11" t="n">
        <v>-0.00630412680117326</v>
      </c>
      <c r="M80" s="11" t="n">
        <v>0.00641184821141512</v>
      </c>
      <c r="N80" s="11" t="n">
        <v>0.527432260920524</v>
      </c>
      <c r="O80" s="12" t="n">
        <v>0.984252502812117</v>
      </c>
      <c r="P80" s="12" t="n">
        <v>0.990836131593469</v>
      </c>
      <c r="Q80" s="4" t="n">
        <f aca="false">RANK(N80,$N$7:$N$307,0)</f>
        <v>74</v>
      </c>
      <c r="R80" s="4" t="n">
        <f aca="false">RANK(O80,$O$7:$O$307,1)</f>
        <v>299</v>
      </c>
      <c r="S80" s="4" t="n">
        <f aca="false">RANK(J80,$J$7:$J$307,0)</f>
        <v>62</v>
      </c>
      <c r="T80" s="4" t="str">
        <f aca="false">IF(O80&lt;0.05,"YES","no")</f>
        <v>no</v>
      </c>
      <c r="U80" s="4" t="str">
        <f aca="false">IF(P80&lt;0.05,"YES","no")</f>
        <v>no</v>
      </c>
      <c r="V80" s="4" t="str">
        <f aca="false">IF(N80&gt;1,"YES","no")</f>
        <v>no</v>
      </c>
    </row>
    <row r="81" customFormat="false" ht="15" hidden="false" customHeight="false" outlineLevel="0" collapsed="false">
      <c r="A81" s="4" t="s">
        <v>210</v>
      </c>
      <c r="B81" s="4" t="s">
        <v>211</v>
      </c>
      <c r="C81" s="4" t="s">
        <v>61</v>
      </c>
      <c r="D81" s="8" t="n">
        <v>130.0862</v>
      </c>
      <c r="E81" s="9" t="n">
        <v>10.393</v>
      </c>
      <c r="F81" s="10" t="n">
        <v>9534373.61626084</v>
      </c>
      <c r="G81" s="10" t="n">
        <v>1486595.21223273</v>
      </c>
      <c r="H81" s="10" t="n">
        <v>7132902.07865706</v>
      </c>
      <c r="I81" s="10" t="n">
        <v>1822975.73224419</v>
      </c>
      <c r="J81" s="10" t="n">
        <v>8333637.84745895</v>
      </c>
      <c r="K81" s="11" t="n">
        <v>0.748124875921783</v>
      </c>
      <c r="L81" s="11" t="n">
        <v>-0.418648992105467</v>
      </c>
      <c r="M81" s="11" t="n">
        <v>0.620283206419905</v>
      </c>
      <c r="N81" s="11" t="n">
        <v>0.52315651497691</v>
      </c>
      <c r="O81" s="12" t="n">
        <v>0.0322822711575258</v>
      </c>
      <c r="P81" s="12" t="n">
        <v>0.478364863336053</v>
      </c>
      <c r="Q81" s="4" t="n">
        <f aca="false">RANK(N81,$N$7:$N$307,0)</f>
        <v>75</v>
      </c>
      <c r="R81" s="4" t="n">
        <f aca="false">RANK(O81,$O$7:$O$307,1)</f>
        <v>17</v>
      </c>
      <c r="S81" s="4" t="n">
        <f aca="false">RANK(J81,$J$7:$J$307,0)</f>
        <v>106</v>
      </c>
      <c r="T81" s="4" t="str">
        <f aca="false">IF(O81&lt;0.05,"YES","no")</f>
        <v>YES</v>
      </c>
      <c r="U81" s="4" t="str">
        <f aca="false">IF(P81&lt;0.05,"YES","no")</f>
        <v>no</v>
      </c>
      <c r="V81" s="4" t="str">
        <f aca="false">IF(N81&gt;1,"YES","no")</f>
        <v>no</v>
      </c>
    </row>
    <row r="82" customFormat="false" ht="15" hidden="false" customHeight="false" outlineLevel="0" collapsed="false">
      <c r="A82" s="4" t="s">
        <v>181</v>
      </c>
      <c r="B82" s="4"/>
      <c r="C82" s="4" t="s">
        <v>72</v>
      </c>
      <c r="D82" s="8" t="n">
        <v>103.03887</v>
      </c>
      <c r="E82" s="9" t="n">
        <v>11.251</v>
      </c>
      <c r="F82" s="10" t="n">
        <v>38801602.1266336</v>
      </c>
      <c r="G82" s="10" t="n">
        <v>5699387.92048178</v>
      </c>
      <c r="H82" s="10" t="n">
        <v>43119016.5790806</v>
      </c>
      <c r="I82" s="10" t="n">
        <v>6781093.80448627</v>
      </c>
      <c r="J82" s="10" t="n">
        <v>40960309.3528571</v>
      </c>
      <c r="K82" s="11" t="n">
        <v>1.11126897385208</v>
      </c>
      <c r="L82" s="11" t="n">
        <v>0.152208051899687</v>
      </c>
      <c r="M82" s="11" t="n">
        <v>0.353202282396857</v>
      </c>
      <c r="N82" s="11" t="n">
        <v>0.517807887905334</v>
      </c>
      <c r="O82" s="12" t="n">
        <v>0.260871675088528</v>
      </c>
      <c r="P82" s="12" t="n">
        <v>0.651482536722943</v>
      </c>
      <c r="Q82" s="4" t="n">
        <f aca="false">RANK(N82,$N$7:$N$307,0)</f>
        <v>76</v>
      </c>
      <c r="R82" s="4" t="n">
        <f aca="false">RANK(O82,$O$7:$O$307,1)</f>
        <v>118</v>
      </c>
      <c r="S82" s="4" t="n">
        <f aca="false">RANK(J82,$J$7:$J$307,0)</f>
        <v>46</v>
      </c>
      <c r="T82" s="4" t="str">
        <f aca="false">IF(O82&lt;0.05,"YES","no")</f>
        <v>no</v>
      </c>
      <c r="U82" s="4" t="str">
        <f aca="false">IF(P82&lt;0.05,"YES","no")</f>
        <v>no</v>
      </c>
      <c r="V82" s="4" t="str">
        <f aca="false">IF(N82&gt;1,"YES","no")</f>
        <v>no</v>
      </c>
    </row>
    <row r="83" customFormat="false" ht="15" hidden="false" customHeight="false" outlineLevel="0" collapsed="false">
      <c r="A83" s="4" t="s">
        <v>144</v>
      </c>
      <c r="B83" s="4"/>
      <c r="C83" s="4" t="s">
        <v>61</v>
      </c>
      <c r="D83" s="8" t="n">
        <v>162.07603</v>
      </c>
      <c r="E83" s="9" t="n">
        <v>9.989</v>
      </c>
      <c r="F83" s="10" t="n">
        <v>27732068.8796336</v>
      </c>
      <c r="G83" s="10" t="n">
        <v>9518949.8985484</v>
      </c>
      <c r="H83" s="10" t="n">
        <v>35213323.6681898</v>
      </c>
      <c r="I83" s="10" t="n">
        <v>21026915.2076408</v>
      </c>
      <c r="J83" s="10" t="n">
        <v>31472696.2739117</v>
      </c>
      <c r="K83" s="11" t="n">
        <v>1.2697690828992</v>
      </c>
      <c r="L83" s="11" t="n">
        <v>0.344566155858362</v>
      </c>
      <c r="M83" s="11" t="n">
        <v>0.24351064021277</v>
      </c>
      <c r="N83" s="11" t="n">
        <v>0.499703791845827</v>
      </c>
      <c r="O83" s="12" t="n">
        <v>0.453415302811002</v>
      </c>
      <c r="P83" s="12" t="n">
        <v>0.779874320834923</v>
      </c>
      <c r="Q83" s="4" t="n">
        <f aca="false">RANK(N83,$N$7:$N$307,0)</f>
        <v>77</v>
      </c>
      <c r="R83" s="4" t="n">
        <f aca="false">RANK(O83,$O$7:$O$307,1)</f>
        <v>175</v>
      </c>
      <c r="S83" s="4" t="n">
        <f aca="false">RANK(J83,$J$7:$J$307,0)</f>
        <v>59</v>
      </c>
      <c r="T83" s="4" t="str">
        <f aca="false">IF(O83&lt;0.05,"YES","no")</f>
        <v>no</v>
      </c>
      <c r="U83" s="4" t="str">
        <f aca="false">IF(P83&lt;0.05,"YES","no")</f>
        <v>no</v>
      </c>
      <c r="V83" s="4" t="str">
        <f aca="false">IF(N83&gt;1,"YES","no")</f>
        <v>no</v>
      </c>
    </row>
    <row r="84" customFormat="false" ht="15" hidden="false" customHeight="false" outlineLevel="0" collapsed="false">
      <c r="A84" s="4" t="s">
        <v>188</v>
      </c>
      <c r="B84" s="4"/>
      <c r="C84" s="4" t="s">
        <v>61</v>
      </c>
      <c r="D84" s="8" t="n">
        <v>195.05091</v>
      </c>
      <c r="E84" s="9" t="n">
        <v>9.065</v>
      </c>
      <c r="F84" s="10" t="n">
        <v>9806915.39621764</v>
      </c>
      <c r="G84" s="10" t="n">
        <v>2907820.46519507</v>
      </c>
      <c r="H84" s="10" t="n">
        <v>13525072.6897572</v>
      </c>
      <c r="I84" s="10" t="n">
        <v>4359071.90495806</v>
      </c>
      <c r="J84" s="10" t="n">
        <v>11665994.0429874</v>
      </c>
      <c r="K84" s="11" t="n">
        <v>1.37913626694216</v>
      </c>
      <c r="L84" s="11" t="n">
        <v>0.463765010825172</v>
      </c>
      <c r="M84" s="11" t="n">
        <v>0.481675734141367</v>
      </c>
      <c r="N84" s="11" t="n">
        <v>0.49592823207001</v>
      </c>
      <c r="O84" s="12" t="n">
        <v>0.117297042651488</v>
      </c>
      <c r="P84" s="12" t="n">
        <v>0.569996631753627</v>
      </c>
      <c r="Q84" s="4" t="n">
        <f aca="false">RANK(N84,$N$7:$N$307,0)</f>
        <v>78</v>
      </c>
      <c r="R84" s="4" t="n">
        <f aca="false">RANK(O84,$O$7:$O$307,1)</f>
        <v>61</v>
      </c>
      <c r="S84" s="4" t="n">
        <f aca="false">RANK(J84,$J$7:$J$307,0)</f>
        <v>97</v>
      </c>
      <c r="T84" s="4" t="str">
        <f aca="false">IF(O84&lt;0.05,"YES","no")</f>
        <v>no</v>
      </c>
      <c r="U84" s="4" t="str">
        <f aca="false">IF(P84&lt;0.05,"YES","no")</f>
        <v>no</v>
      </c>
      <c r="V84" s="4" t="str">
        <f aca="false">IF(N84&gt;1,"YES","no")</f>
        <v>no</v>
      </c>
    </row>
    <row r="85" customFormat="false" ht="15" hidden="false" customHeight="false" outlineLevel="0" collapsed="false">
      <c r="A85" s="4" t="s">
        <v>167</v>
      </c>
      <c r="B85" s="4"/>
      <c r="C85" s="4" t="s">
        <v>72</v>
      </c>
      <c r="D85" s="8" t="n">
        <v>260.18566</v>
      </c>
      <c r="E85" s="9" t="n">
        <v>7.525</v>
      </c>
      <c r="F85" s="10" t="n">
        <v>29965155.5928215</v>
      </c>
      <c r="G85" s="10" t="n">
        <v>12908230.8528955</v>
      </c>
      <c r="H85" s="10" t="n">
        <v>33470051.3267462</v>
      </c>
      <c r="I85" s="10" t="n">
        <v>16290840.2277048</v>
      </c>
      <c r="J85" s="10" t="n">
        <v>31717603.4597839</v>
      </c>
      <c r="K85" s="11" t="n">
        <v>1.11696571115968</v>
      </c>
      <c r="L85" s="11" t="n">
        <v>0.159584898355534</v>
      </c>
      <c r="M85" s="11" t="n">
        <v>0.129517476433833</v>
      </c>
      <c r="N85" s="11" t="n">
        <v>0.494238110945016</v>
      </c>
      <c r="O85" s="12" t="n">
        <v>0.688735118841294</v>
      </c>
      <c r="P85" s="12" t="n">
        <v>0.882167109664806</v>
      </c>
      <c r="Q85" s="4" t="n">
        <f aca="false">RANK(N85,$N$7:$N$307,0)</f>
        <v>79</v>
      </c>
      <c r="R85" s="4" t="n">
        <f aca="false">RANK(O85,$O$7:$O$307,1)</f>
        <v>235</v>
      </c>
      <c r="S85" s="4" t="n">
        <f aca="false">RANK(J85,$J$7:$J$307,0)</f>
        <v>58</v>
      </c>
      <c r="T85" s="4" t="str">
        <f aca="false">IF(O85&lt;0.05,"YES","no")</f>
        <v>no</v>
      </c>
      <c r="U85" s="4" t="str">
        <f aca="false">IF(P85&lt;0.05,"YES","no")</f>
        <v>no</v>
      </c>
      <c r="V85" s="4" t="str">
        <f aca="false">IF(N85&gt;1,"YES","no")</f>
        <v>no</v>
      </c>
    </row>
    <row r="86" customFormat="false" ht="15" hidden="false" customHeight="false" outlineLevel="0" collapsed="false">
      <c r="A86" s="4" t="s">
        <v>151</v>
      </c>
      <c r="B86" s="4"/>
      <c r="C86" s="4" t="s">
        <v>61</v>
      </c>
      <c r="D86" s="8" t="n">
        <v>229.01174</v>
      </c>
      <c r="E86" s="9" t="n">
        <v>9.596</v>
      </c>
      <c r="F86" s="10" t="n">
        <v>9174611.02050039</v>
      </c>
      <c r="G86" s="10" t="n">
        <v>2222010.80515366</v>
      </c>
      <c r="H86" s="10" t="n">
        <v>12663126.9673319</v>
      </c>
      <c r="I86" s="10" t="n">
        <v>3678096.64885894</v>
      </c>
      <c r="J86" s="10" t="n">
        <v>10918868.9939161</v>
      </c>
      <c r="K86" s="11" t="n">
        <v>1.38023584204676</v>
      </c>
      <c r="L86" s="11" t="n">
        <v>0.464914802568953</v>
      </c>
      <c r="M86" s="11" t="n">
        <v>0.532328330011025</v>
      </c>
      <c r="N86" s="11" t="n">
        <v>0.48727441694395</v>
      </c>
      <c r="O86" s="12" t="n">
        <v>0.0809973295727155</v>
      </c>
      <c r="P86" s="12" t="n">
        <v>0.545525735104785</v>
      </c>
      <c r="Q86" s="4" t="n">
        <f aca="false">RANK(N86,$N$7:$N$307,0)</f>
        <v>80</v>
      </c>
      <c r="R86" s="4" t="n">
        <f aca="false">RANK(O86,$O$7:$O$307,1)</f>
        <v>43</v>
      </c>
      <c r="S86" s="4" t="n">
        <f aca="false">RANK(J86,$J$7:$J$307,0)</f>
        <v>99</v>
      </c>
      <c r="T86" s="4" t="str">
        <f aca="false">IF(O86&lt;0.05,"YES","no")</f>
        <v>no</v>
      </c>
      <c r="U86" s="4" t="str">
        <f aca="false">IF(P86&lt;0.05,"YES","no")</f>
        <v>no</v>
      </c>
      <c r="V86" s="4" t="str">
        <f aca="false">IF(N86&gt;1,"YES","no")</f>
        <v>no</v>
      </c>
    </row>
    <row r="87" customFormat="false" ht="15" hidden="false" customHeight="false" outlineLevel="0" collapsed="false">
      <c r="A87" s="4" t="s">
        <v>104</v>
      </c>
      <c r="B87" s="4" t="s">
        <v>105</v>
      </c>
      <c r="C87" s="4" t="s">
        <v>72</v>
      </c>
      <c r="D87" s="8" t="n">
        <v>138.0549</v>
      </c>
      <c r="E87" s="9" t="n">
        <v>10.341</v>
      </c>
      <c r="F87" s="10" t="n">
        <v>66480442.3417375</v>
      </c>
      <c r="G87" s="10" t="n">
        <v>15141138.5106207</v>
      </c>
      <c r="H87" s="10" t="n">
        <v>62920566.3320772</v>
      </c>
      <c r="I87" s="10" t="n">
        <v>11225568.7776325</v>
      </c>
      <c r="J87" s="10" t="n">
        <v>64700504.3369073</v>
      </c>
      <c r="K87" s="11" t="n">
        <v>0.946452281539267</v>
      </c>
      <c r="L87" s="11" t="n">
        <v>-0.0793983252733376</v>
      </c>
      <c r="M87" s="11" t="n">
        <v>0.144755244188327</v>
      </c>
      <c r="N87" s="11" t="n">
        <v>0.4836406594078</v>
      </c>
      <c r="O87" s="12" t="n">
        <v>0.654353447452846</v>
      </c>
      <c r="P87" s="12" t="n">
        <v>0.881168181006632</v>
      </c>
      <c r="Q87" s="4" t="n">
        <f aca="false">RANK(N87,$N$7:$N$307,0)</f>
        <v>81</v>
      </c>
      <c r="R87" s="4" t="n">
        <f aca="false">RANK(O87,$O$7:$O$307,1)</f>
        <v>220</v>
      </c>
      <c r="S87" s="4" t="n">
        <f aca="false">RANK(J87,$J$7:$J$307,0)</f>
        <v>35</v>
      </c>
      <c r="T87" s="4" t="str">
        <f aca="false">IF(O87&lt;0.05,"YES","no")</f>
        <v>no</v>
      </c>
      <c r="U87" s="4" t="str">
        <f aca="false">IF(P87&lt;0.05,"YES","no")</f>
        <v>no</v>
      </c>
      <c r="V87" s="4" t="str">
        <f aca="false">IF(N87&gt;1,"YES","no")</f>
        <v>no</v>
      </c>
    </row>
    <row r="88" customFormat="false" ht="15" hidden="false" customHeight="false" outlineLevel="0" collapsed="false">
      <c r="A88" s="4" t="s">
        <v>323</v>
      </c>
      <c r="B88" s="4" t="s">
        <v>324</v>
      </c>
      <c r="C88" s="4" t="s">
        <v>72</v>
      </c>
      <c r="D88" s="8" t="n">
        <v>489.11475</v>
      </c>
      <c r="E88" s="9" t="n">
        <v>10.202</v>
      </c>
      <c r="F88" s="10" t="n">
        <v>6924807.34347105</v>
      </c>
      <c r="G88" s="10" t="n">
        <v>3184924.29253276</v>
      </c>
      <c r="H88" s="10" t="n">
        <v>4488327.02012345</v>
      </c>
      <c r="I88" s="10" t="n">
        <v>1258797.2877701</v>
      </c>
      <c r="J88" s="10" t="n">
        <v>5706567.18179725</v>
      </c>
      <c r="K88" s="11" t="n">
        <v>0.648151897591086</v>
      </c>
      <c r="L88" s="11" t="n">
        <v>-0.625596139461283</v>
      </c>
      <c r="M88" s="11" t="n">
        <v>0.482649991675572</v>
      </c>
      <c r="N88" s="11" t="n">
        <v>0.483127867285498</v>
      </c>
      <c r="O88" s="12" t="n">
        <v>0.128026907843448</v>
      </c>
      <c r="P88" s="12" t="n">
        <v>0.59081559788972</v>
      </c>
      <c r="Q88" s="4" t="n">
        <f aca="false">RANK(N88,$N$7:$N$307,0)</f>
        <v>82</v>
      </c>
      <c r="R88" s="4" t="n">
        <f aca="false">RANK(O88,$O$7:$O$307,1)</f>
        <v>65</v>
      </c>
      <c r="S88" s="4" t="n">
        <f aca="false">RANK(J88,$J$7:$J$307,0)</f>
        <v>121</v>
      </c>
      <c r="T88" s="4" t="str">
        <f aca="false">IF(O88&lt;0.05,"YES","no")</f>
        <v>no</v>
      </c>
      <c r="U88" s="4" t="str">
        <f aca="false">IF(P88&lt;0.05,"YES","no")</f>
        <v>no</v>
      </c>
      <c r="V88" s="4" t="str">
        <f aca="false">IF(N88&gt;1,"YES","no")</f>
        <v>no</v>
      </c>
    </row>
    <row r="89" customFormat="false" ht="15" hidden="false" customHeight="false" outlineLevel="0" collapsed="false">
      <c r="A89" s="4" t="s">
        <v>106</v>
      </c>
      <c r="B89" s="4" t="s">
        <v>107</v>
      </c>
      <c r="C89" s="4" t="s">
        <v>72</v>
      </c>
      <c r="D89" s="8" t="n">
        <v>279.23253</v>
      </c>
      <c r="E89" s="9" t="n">
        <v>3.685</v>
      </c>
      <c r="F89" s="10" t="n">
        <v>101621163.708738</v>
      </c>
      <c r="G89" s="10" t="n">
        <v>64048170.257714</v>
      </c>
      <c r="H89" s="10" t="n">
        <v>114853800.4756</v>
      </c>
      <c r="I89" s="10" t="n">
        <v>44039073.8249144</v>
      </c>
      <c r="J89" s="10" t="n">
        <v>108237482.092169</v>
      </c>
      <c r="K89" s="11" t="n">
        <v>1.13021536345311</v>
      </c>
      <c r="L89" s="11" t="n">
        <v>0.176597705544432</v>
      </c>
      <c r="M89" s="11" t="n">
        <v>0.130738072238432</v>
      </c>
      <c r="N89" s="11" t="n">
        <v>0.477976651444528</v>
      </c>
      <c r="O89" s="12" t="n">
        <v>0.686589192459007</v>
      </c>
      <c r="P89" s="12" t="n">
        <v>0.882167109664806</v>
      </c>
      <c r="Q89" s="4" t="n">
        <f aca="false">RANK(N89,$N$7:$N$307,0)</f>
        <v>83</v>
      </c>
      <c r="R89" s="4" t="n">
        <f aca="false">RANK(O89,$O$7:$O$307,1)</f>
        <v>234</v>
      </c>
      <c r="S89" s="4" t="n">
        <f aca="false">RANK(J89,$J$7:$J$307,0)</f>
        <v>28</v>
      </c>
      <c r="T89" s="4" t="str">
        <f aca="false">IF(O89&lt;0.05,"YES","no")</f>
        <v>no</v>
      </c>
      <c r="U89" s="4" t="str">
        <f aca="false">IF(P89&lt;0.05,"YES","no")</f>
        <v>no</v>
      </c>
      <c r="V89" s="4" t="str">
        <f aca="false">IF(N89&gt;1,"YES","no")</f>
        <v>no</v>
      </c>
    </row>
    <row r="90" customFormat="false" ht="15" hidden="false" customHeight="false" outlineLevel="0" collapsed="false">
      <c r="A90" s="4" t="s">
        <v>116</v>
      </c>
      <c r="B90" s="4" t="s">
        <v>117</v>
      </c>
      <c r="C90" s="4" t="s">
        <v>61</v>
      </c>
      <c r="D90" s="8" t="n">
        <v>120.0655</v>
      </c>
      <c r="E90" s="9" t="n">
        <v>10.871</v>
      </c>
      <c r="F90" s="10" t="n">
        <v>34052536.7142773</v>
      </c>
      <c r="G90" s="10" t="n">
        <v>5753520.64466933</v>
      </c>
      <c r="H90" s="10" t="n">
        <v>37327710.7810535</v>
      </c>
      <c r="I90" s="10" t="n">
        <v>8955648.91676679</v>
      </c>
      <c r="J90" s="10" t="n">
        <v>35690123.7476654</v>
      </c>
      <c r="K90" s="11" t="n">
        <v>1.09618003188007</v>
      </c>
      <c r="L90" s="11" t="n">
        <v>0.13248475976819</v>
      </c>
      <c r="M90" s="11" t="n">
        <v>0.231838456522255</v>
      </c>
      <c r="N90" s="11" t="n">
        <v>0.469341136008133</v>
      </c>
      <c r="O90" s="12" t="n">
        <v>0.471344036293885</v>
      </c>
      <c r="P90" s="12" t="n">
        <v>0.785761728112644</v>
      </c>
      <c r="Q90" s="4" t="n">
        <f aca="false">RANK(N90,$N$7:$N$307,0)</f>
        <v>84</v>
      </c>
      <c r="R90" s="4" t="n">
        <f aca="false">RANK(O90,$O$7:$O$307,1)</f>
        <v>179</v>
      </c>
      <c r="S90" s="4" t="n">
        <f aca="false">RANK(J90,$J$7:$J$307,0)</f>
        <v>53</v>
      </c>
      <c r="T90" s="4" t="str">
        <f aca="false">IF(O90&lt;0.05,"YES","no")</f>
        <v>no</v>
      </c>
      <c r="U90" s="4" t="str">
        <f aca="false">IF(P90&lt;0.05,"YES","no")</f>
        <v>no</v>
      </c>
      <c r="V90" s="4" t="str">
        <f aca="false">IF(N90&gt;1,"YES","no")</f>
        <v>no</v>
      </c>
    </row>
    <row r="91" customFormat="false" ht="15" hidden="false" customHeight="false" outlineLevel="0" collapsed="false">
      <c r="A91" s="4" t="s">
        <v>182</v>
      </c>
      <c r="B91" s="4"/>
      <c r="C91" s="4" t="s">
        <v>61</v>
      </c>
      <c r="D91" s="8" t="n">
        <v>103.03999</v>
      </c>
      <c r="E91" s="9" t="n">
        <v>7.484</v>
      </c>
      <c r="F91" s="10" t="n">
        <v>5495971.15550073</v>
      </c>
      <c r="G91" s="10" t="n">
        <v>3510638.83468713</v>
      </c>
      <c r="H91" s="10" t="n">
        <v>3529626.1627504</v>
      </c>
      <c r="I91" s="10" t="n">
        <v>1851901.09610431</v>
      </c>
      <c r="J91" s="10" t="n">
        <v>4512798.65912557</v>
      </c>
      <c r="K91" s="11" t="n">
        <v>0.64222064906904</v>
      </c>
      <c r="L91" s="11" t="n">
        <v>-0.638859042669241</v>
      </c>
      <c r="M91" s="11" t="n">
        <v>0.358267851311896</v>
      </c>
      <c r="N91" s="11" t="n">
        <v>0.466128125732235</v>
      </c>
      <c r="O91" s="12" t="n">
        <v>0.261382579445698</v>
      </c>
      <c r="P91" s="12" t="n">
        <v>0.651482536722943</v>
      </c>
      <c r="Q91" s="4" t="n">
        <f aca="false">RANK(N91,$N$7:$N$307,0)</f>
        <v>85</v>
      </c>
      <c r="R91" s="4" t="n">
        <f aca="false">RANK(O91,$O$7:$O$307,1)</f>
        <v>119</v>
      </c>
      <c r="S91" s="4" t="n">
        <f aca="false">RANK(J91,$J$7:$J$307,0)</f>
        <v>132</v>
      </c>
      <c r="T91" s="4" t="str">
        <f aca="false">IF(O91&lt;0.05,"YES","no")</f>
        <v>no</v>
      </c>
      <c r="U91" s="4" t="str">
        <f aca="false">IF(P91&lt;0.05,"YES","no")</f>
        <v>no</v>
      </c>
      <c r="V91" s="4" t="str">
        <f aca="false">IF(N91&gt;1,"YES","no")</f>
        <v>no</v>
      </c>
    </row>
    <row r="92" customFormat="false" ht="15" hidden="false" customHeight="false" outlineLevel="0" collapsed="false">
      <c r="A92" s="4" t="s">
        <v>103</v>
      </c>
      <c r="B92" s="4"/>
      <c r="C92" s="4" t="s">
        <v>61</v>
      </c>
      <c r="D92" s="8" t="n">
        <v>147.11272</v>
      </c>
      <c r="E92" s="9" t="n">
        <v>18.232</v>
      </c>
      <c r="F92" s="10" t="n">
        <v>42190744.2087351</v>
      </c>
      <c r="G92" s="10" t="n">
        <v>18057805.7494549</v>
      </c>
      <c r="H92" s="10" t="n">
        <v>48921318.2214975</v>
      </c>
      <c r="I92" s="10" t="n">
        <v>12460923.4116052</v>
      </c>
      <c r="J92" s="10" t="n">
        <v>45556031.2151163</v>
      </c>
      <c r="K92" s="11" t="n">
        <v>1.1595272645456</v>
      </c>
      <c r="L92" s="11" t="n">
        <v>0.213536743194157</v>
      </c>
      <c r="M92" s="11" t="n">
        <v>0.231188088092506</v>
      </c>
      <c r="N92" s="11" t="n">
        <v>0.465251949634702</v>
      </c>
      <c r="O92" s="12" t="n">
        <v>0.471830015667975</v>
      </c>
      <c r="P92" s="12" t="n">
        <v>0.785761728112644</v>
      </c>
      <c r="Q92" s="4" t="n">
        <f aca="false">RANK(N92,$N$7:$N$307,0)</f>
        <v>86</v>
      </c>
      <c r="R92" s="4" t="n">
        <f aca="false">RANK(O92,$O$7:$O$307,1)</f>
        <v>180</v>
      </c>
      <c r="S92" s="4" t="n">
        <f aca="false">RANK(J92,$J$7:$J$307,0)</f>
        <v>45</v>
      </c>
      <c r="T92" s="4" t="str">
        <f aca="false">IF(O92&lt;0.05,"YES","no")</f>
        <v>no</v>
      </c>
      <c r="U92" s="4" t="str">
        <f aca="false">IF(P92&lt;0.05,"YES","no")</f>
        <v>no</v>
      </c>
      <c r="V92" s="4" t="str">
        <f aca="false">IF(N92&gt;1,"YES","no")</f>
        <v>no</v>
      </c>
    </row>
    <row r="93" customFormat="false" ht="15" hidden="false" customHeight="false" outlineLevel="0" collapsed="false">
      <c r="A93" s="4" t="s">
        <v>236</v>
      </c>
      <c r="B93" s="4"/>
      <c r="C93" s="4" t="s">
        <v>72</v>
      </c>
      <c r="D93" s="8" t="n">
        <v>664.11878</v>
      </c>
      <c r="E93" s="9" t="n">
        <v>8.315</v>
      </c>
      <c r="F93" s="10" t="n">
        <v>3643753.23803385</v>
      </c>
      <c r="G93" s="10" t="n">
        <v>1969903.69105495</v>
      </c>
      <c r="H93" s="10" t="n">
        <v>1779067.00733702</v>
      </c>
      <c r="I93" s="10" t="n">
        <v>950583.885741322</v>
      </c>
      <c r="J93" s="10" t="n">
        <v>2711410.12268543</v>
      </c>
      <c r="K93" s="11" t="n">
        <v>0.488251231934956</v>
      </c>
      <c r="L93" s="11" t="n">
        <v>-1.0343044106233</v>
      </c>
      <c r="M93" s="11" t="n">
        <v>0.551050680921633</v>
      </c>
      <c r="N93" s="11" t="n">
        <v>0.46335651389691</v>
      </c>
      <c r="O93" s="12" t="n">
        <v>0.074015355662325</v>
      </c>
      <c r="P93" s="12" t="n">
        <v>0.545525735104785</v>
      </c>
      <c r="Q93" s="4" t="n">
        <f aca="false">RANK(N93,$N$7:$N$307,0)</f>
        <v>87</v>
      </c>
      <c r="R93" s="4" t="n">
        <f aca="false">RANK(O93,$O$7:$O$307,1)</f>
        <v>40</v>
      </c>
      <c r="S93" s="4" t="n">
        <f aca="false">RANK(J93,$J$7:$J$307,0)</f>
        <v>161</v>
      </c>
      <c r="T93" s="4" t="str">
        <f aca="false">IF(O93&lt;0.05,"YES","no")</f>
        <v>no</v>
      </c>
      <c r="U93" s="4" t="str">
        <f aca="false">IF(P93&lt;0.05,"YES","no")</f>
        <v>no</v>
      </c>
      <c r="V93" s="4" t="str">
        <f aca="false">IF(N93&gt;1,"YES","no")</f>
        <v>no</v>
      </c>
    </row>
    <row r="94" customFormat="false" ht="15" hidden="false" customHeight="false" outlineLevel="0" collapsed="false">
      <c r="A94" s="4" t="s">
        <v>281</v>
      </c>
      <c r="B94" s="4" t="s">
        <v>282</v>
      </c>
      <c r="C94" s="4" t="s">
        <v>72</v>
      </c>
      <c r="D94" s="8" t="n">
        <v>135.04506</v>
      </c>
      <c r="E94" s="9" t="n">
        <v>6.688</v>
      </c>
      <c r="F94" s="10" t="n">
        <v>4791262.93863484</v>
      </c>
      <c r="G94" s="10" t="n">
        <v>1334204.93462373</v>
      </c>
      <c r="H94" s="10" t="n">
        <v>3385142.05074321</v>
      </c>
      <c r="I94" s="10" t="n">
        <v>1077708.8688443</v>
      </c>
      <c r="J94" s="10" t="n">
        <v>4088202.49468902</v>
      </c>
      <c r="K94" s="11" t="n">
        <v>0.706523957065008</v>
      </c>
      <c r="L94" s="11" t="n">
        <v>-0.501189614083433</v>
      </c>
      <c r="M94" s="11" t="n">
        <v>0.536087342831637</v>
      </c>
      <c r="N94" s="11" t="n">
        <v>0.4512559816895</v>
      </c>
      <c r="O94" s="12" t="n">
        <v>0.0736455506685618</v>
      </c>
      <c r="P94" s="12" t="n">
        <v>0.545525735104785</v>
      </c>
      <c r="Q94" s="4" t="n">
        <f aca="false">RANK(N94,$N$7:$N$307,0)</f>
        <v>88</v>
      </c>
      <c r="R94" s="4" t="n">
        <f aca="false">RANK(O94,$O$7:$O$307,1)</f>
        <v>39</v>
      </c>
      <c r="S94" s="4" t="n">
        <f aca="false">RANK(J94,$J$7:$J$307,0)</f>
        <v>137</v>
      </c>
      <c r="T94" s="4" t="str">
        <f aca="false">IF(O94&lt;0.05,"YES","no")</f>
        <v>no</v>
      </c>
      <c r="U94" s="4" t="str">
        <f aca="false">IF(P94&lt;0.05,"YES","no")</f>
        <v>no</v>
      </c>
      <c r="V94" s="4" t="str">
        <f aca="false">IF(N94&gt;1,"YES","no")</f>
        <v>no</v>
      </c>
    </row>
    <row r="95" customFormat="false" ht="15" hidden="false" customHeight="false" outlineLevel="0" collapsed="false">
      <c r="A95" s="4" t="s">
        <v>154</v>
      </c>
      <c r="B95" s="4"/>
      <c r="C95" s="4" t="s">
        <v>61</v>
      </c>
      <c r="D95" s="8" t="n">
        <v>134.04719</v>
      </c>
      <c r="E95" s="9" t="n">
        <v>7.989</v>
      </c>
      <c r="F95" s="10" t="n">
        <v>29590362.2796602</v>
      </c>
      <c r="G95" s="10" t="n">
        <v>5042860.56649075</v>
      </c>
      <c r="H95" s="10" t="n">
        <v>32830471.7996962</v>
      </c>
      <c r="I95" s="10" t="n">
        <v>7895469.28133607</v>
      </c>
      <c r="J95" s="10" t="n">
        <v>31210417.0396782</v>
      </c>
      <c r="K95" s="11" t="n">
        <v>1.10949881212719</v>
      </c>
      <c r="L95" s="11" t="n">
        <v>0.149908122930032</v>
      </c>
      <c r="M95" s="11" t="n">
        <v>0.258770446270927</v>
      </c>
      <c r="N95" s="11" t="n">
        <v>0.449054195775522</v>
      </c>
      <c r="O95" s="12" t="n">
        <v>0.420125264513123</v>
      </c>
      <c r="P95" s="12" t="n">
        <v>0.770575002090575</v>
      </c>
      <c r="Q95" s="4" t="n">
        <f aca="false">RANK(N95,$N$7:$N$307,0)</f>
        <v>89</v>
      </c>
      <c r="R95" s="4" t="n">
        <f aca="false">RANK(O95,$O$7:$O$307,1)</f>
        <v>164</v>
      </c>
      <c r="S95" s="4" t="n">
        <f aca="false">RANK(J95,$J$7:$J$307,0)</f>
        <v>60</v>
      </c>
      <c r="T95" s="4" t="str">
        <f aca="false">IF(O95&lt;0.05,"YES","no")</f>
        <v>no</v>
      </c>
      <c r="U95" s="4" t="str">
        <f aca="false">IF(P95&lt;0.05,"YES","no")</f>
        <v>no</v>
      </c>
      <c r="V95" s="4" t="str">
        <f aca="false">IF(N95&gt;1,"YES","no")</f>
        <v>no</v>
      </c>
    </row>
    <row r="96" customFormat="false" ht="15" hidden="false" customHeight="false" outlineLevel="0" collapsed="false">
      <c r="A96" s="4" t="s">
        <v>336</v>
      </c>
      <c r="B96" s="4"/>
      <c r="C96" s="4" t="s">
        <v>72</v>
      </c>
      <c r="D96" s="8" t="n">
        <v>260.16046</v>
      </c>
      <c r="E96" s="9" t="n">
        <v>6.994</v>
      </c>
      <c r="F96" s="10" t="n">
        <v>4046979.73158344</v>
      </c>
      <c r="G96" s="10" t="n">
        <v>2183157.62939448</v>
      </c>
      <c r="H96" s="10" t="n">
        <v>7313177.63087292</v>
      </c>
      <c r="I96" s="10" t="n">
        <v>4228997.74447194</v>
      </c>
      <c r="J96" s="10" t="n">
        <v>5680078.68122818</v>
      </c>
      <c r="K96" s="11" t="n">
        <v>1.80707048612065</v>
      </c>
      <c r="L96" s="11" t="n">
        <v>0.853652780686987</v>
      </c>
      <c r="M96" s="11" t="n">
        <v>0.469390585874335</v>
      </c>
      <c r="N96" s="11" t="n">
        <v>0.443830997826335</v>
      </c>
      <c r="O96" s="12" t="n">
        <v>0.133839656228093</v>
      </c>
      <c r="P96" s="12" t="n">
        <v>0.59081559788972</v>
      </c>
      <c r="Q96" s="4" t="n">
        <f aca="false">RANK(N96,$N$7:$N$307,0)</f>
        <v>90</v>
      </c>
      <c r="R96" s="4" t="n">
        <f aca="false">RANK(O96,$O$7:$O$307,1)</f>
        <v>66</v>
      </c>
      <c r="S96" s="4" t="n">
        <f aca="false">RANK(J96,$J$7:$J$307,0)</f>
        <v>122</v>
      </c>
      <c r="T96" s="4" t="str">
        <f aca="false">IF(O96&lt;0.05,"YES","no")</f>
        <v>no</v>
      </c>
      <c r="U96" s="4" t="str">
        <f aca="false">IF(P96&lt;0.05,"YES","no")</f>
        <v>no</v>
      </c>
      <c r="V96" s="4" t="str">
        <f aca="false">IF(N96&gt;1,"YES","no")</f>
        <v>no</v>
      </c>
    </row>
    <row r="97" customFormat="false" ht="15" hidden="false" customHeight="false" outlineLevel="0" collapsed="false">
      <c r="A97" s="4" t="s">
        <v>119</v>
      </c>
      <c r="B97" s="4"/>
      <c r="C97" s="4" t="s">
        <v>61</v>
      </c>
      <c r="D97" s="8" t="n">
        <v>205.09714</v>
      </c>
      <c r="E97" s="9" t="n">
        <v>9.665</v>
      </c>
      <c r="F97" s="10" t="n">
        <v>18693641.2459415</v>
      </c>
      <c r="G97" s="10" t="n">
        <v>7364209.61638143</v>
      </c>
      <c r="H97" s="10" t="n">
        <v>20527436.1769034</v>
      </c>
      <c r="I97" s="10" t="n">
        <v>7691990.51816061</v>
      </c>
      <c r="J97" s="10" t="n">
        <v>19610538.7114225</v>
      </c>
      <c r="K97" s="11" t="n">
        <v>1.09809725707452</v>
      </c>
      <c r="L97" s="11" t="n">
        <v>0.135005837663031</v>
      </c>
      <c r="M97" s="11" t="n">
        <v>0.132218861832094</v>
      </c>
      <c r="N97" s="11" t="n">
        <v>0.439739009451566</v>
      </c>
      <c r="O97" s="12" t="n">
        <v>0.68210028629417</v>
      </c>
      <c r="P97" s="12" t="n">
        <v>0.881168181006632</v>
      </c>
      <c r="Q97" s="4" t="n">
        <f aca="false">RANK(N97,$N$7:$N$307,0)</f>
        <v>91</v>
      </c>
      <c r="R97" s="4" t="n">
        <f aca="false">RANK(O97,$O$7:$O$307,1)</f>
        <v>233</v>
      </c>
      <c r="S97" s="4" t="n">
        <f aca="false">RANK(J97,$J$7:$J$307,0)</f>
        <v>73</v>
      </c>
      <c r="T97" s="4" t="str">
        <f aca="false">IF(O97&lt;0.05,"YES","no")</f>
        <v>no</v>
      </c>
      <c r="U97" s="4" t="str">
        <f aca="false">IF(P97&lt;0.05,"YES","no")</f>
        <v>no</v>
      </c>
      <c r="V97" s="4" t="str">
        <f aca="false">IF(N97&gt;1,"YES","no")</f>
        <v>no</v>
      </c>
    </row>
    <row r="98" customFormat="false" ht="15" hidden="false" customHeight="false" outlineLevel="0" collapsed="false">
      <c r="A98" s="4" t="s">
        <v>77</v>
      </c>
      <c r="B98" s="4"/>
      <c r="C98" s="4" t="s">
        <v>72</v>
      </c>
      <c r="D98" s="8" t="n">
        <v>96.96949</v>
      </c>
      <c r="E98" s="9" t="n">
        <v>10.445</v>
      </c>
      <c r="F98" s="10" t="n">
        <v>309359410.508526</v>
      </c>
      <c r="G98" s="10" t="n">
        <v>101678414.666885</v>
      </c>
      <c r="H98" s="10" t="n">
        <v>319863646.821463</v>
      </c>
      <c r="I98" s="10" t="n">
        <v>81444662.8126288</v>
      </c>
      <c r="J98" s="10" t="n">
        <v>314611528.664994</v>
      </c>
      <c r="K98" s="11" t="n">
        <v>1.03395479806375</v>
      </c>
      <c r="L98" s="11" t="n">
        <v>0.0481731159867812</v>
      </c>
      <c r="M98" s="11" t="n">
        <v>0.0623349493660113</v>
      </c>
      <c r="N98" s="11" t="n">
        <v>0.438069751553705</v>
      </c>
      <c r="O98" s="12" t="n">
        <v>0.847575006231149</v>
      </c>
      <c r="P98" s="12" t="n">
        <v>0.923481941786446</v>
      </c>
      <c r="Q98" s="4" t="n">
        <f aca="false">RANK(N98,$N$7:$N$307,0)</f>
        <v>92</v>
      </c>
      <c r="R98" s="4" t="n">
        <f aca="false">RANK(O98,$O$7:$O$307,1)</f>
        <v>274</v>
      </c>
      <c r="S98" s="4" t="n">
        <f aca="false">RANK(J98,$J$7:$J$307,0)</f>
        <v>13</v>
      </c>
      <c r="T98" s="4" t="str">
        <f aca="false">IF(O98&lt;0.05,"YES","no")</f>
        <v>no</v>
      </c>
      <c r="U98" s="4" t="str">
        <f aca="false">IF(P98&lt;0.05,"YES","no")</f>
        <v>no</v>
      </c>
      <c r="V98" s="4" t="str">
        <f aca="false">IF(N98&gt;1,"YES","no")</f>
        <v>no</v>
      </c>
    </row>
    <row r="99" customFormat="false" ht="15" hidden="false" customHeight="false" outlineLevel="0" collapsed="false">
      <c r="A99" s="4" t="s">
        <v>303</v>
      </c>
      <c r="B99" s="4"/>
      <c r="C99" s="4" t="s">
        <v>61</v>
      </c>
      <c r="D99" s="8" t="n">
        <v>484.97581</v>
      </c>
      <c r="E99" s="9" t="n">
        <v>10.423</v>
      </c>
      <c r="F99" s="10" t="n">
        <v>3220433.4756933</v>
      </c>
      <c r="G99" s="10" t="n">
        <v>1104300.30658827</v>
      </c>
      <c r="H99" s="10" t="n">
        <v>1542237.23273204</v>
      </c>
      <c r="I99" s="10" t="n">
        <v>1232790.26961868</v>
      </c>
      <c r="J99" s="10" t="n">
        <v>2381335.35421267</v>
      </c>
      <c r="K99" s="11" t="n">
        <v>0.478891194111696</v>
      </c>
      <c r="L99" s="11" t="n">
        <v>-1.06223018745751</v>
      </c>
      <c r="M99" s="11" t="n">
        <v>0.617678884081722</v>
      </c>
      <c r="N99" s="11" t="n">
        <v>0.437787809755759</v>
      </c>
      <c r="O99" s="12" t="n">
        <v>0.0325982020440154</v>
      </c>
      <c r="P99" s="12" t="n">
        <v>0.478364863336053</v>
      </c>
      <c r="Q99" s="4" t="n">
        <f aca="false">RANK(N99,$N$7:$N$307,0)</f>
        <v>93</v>
      </c>
      <c r="R99" s="4" t="n">
        <f aca="false">RANK(O99,$O$7:$O$307,1)</f>
        <v>18</v>
      </c>
      <c r="S99" s="4" t="n">
        <f aca="false">RANK(J99,$J$7:$J$307,0)</f>
        <v>167</v>
      </c>
      <c r="T99" s="4" t="str">
        <f aca="false">IF(O99&lt;0.05,"YES","no")</f>
        <v>YES</v>
      </c>
      <c r="U99" s="4" t="str">
        <f aca="false">IF(P99&lt;0.05,"YES","no")</f>
        <v>no</v>
      </c>
      <c r="V99" s="4" t="str">
        <f aca="false">IF(N99&gt;1,"YES","no")</f>
        <v>no</v>
      </c>
    </row>
    <row r="100" customFormat="false" ht="15" hidden="false" customHeight="false" outlineLevel="0" collapsed="false">
      <c r="A100" s="4" t="s">
        <v>172</v>
      </c>
      <c r="B100" s="4"/>
      <c r="C100" s="4" t="s">
        <v>61</v>
      </c>
      <c r="D100" s="8" t="n">
        <v>146.09241</v>
      </c>
      <c r="E100" s="9" t="n">
        <v>11.851</v>
      </c>
      <c r="F100" s="10" t="n">
        <v>14111986.2258956</v>
      </c>
      <c r="G100" s="10" t="n">
        <v>6158910.86257526</v>
      </c>
      <c r="H100" s="10" t="n">
        <v>10446373.6566931</v>
      </c>
      <c r="I100" s="10" t="n">
        <v>4389578.40708437</v>
      </c>
      <c r="J100" s="10" t="n">
        <v>12279179.9412943</v>
      </c>
      <c r="K100" s="11" t="n">
        <v>0.740248288899539</v>
      </c>
      <c r="L100" s="11" t="n">
        <v>-0.433918844302503</v>
      </c>
      <c r="M100" s="11" t="n">
        <v>0.351471377970201</v>
      </c>
      <c r="N100" s="11" t="n">
        <v>0.433505675310001</v>
      </c>
      <c r="O100" s="12" t="n">
        <v>0.265416447102918</v>
      </c>
      <c r="P100" s="12" t="n">
        <v>0.651482536722943</v>
      </c>
      <c r="Q100" s="4" t="n">
        <f aca="false">RANK(N100,$N$7:$N$307,0)</f>
        <v>94</v>
      </c>
      <c r="R100" s="4" t="n">
        <f aca="false">RANK(O100,$O$7:$O$307,1)</f>
        <v>121</v>
      </c>
      <c r="S100" s="4" t="n">
        <f aca="false">RANK(J100,$J$7:$J$307,0)</f>
        <v>95</v>
      </c>
      <c r="T100" s="4" t="str">
        <f aca="false">IF(O100&lt;0.05,"YES","no")</f>
        <v>no</v>
      </c>
      <c r="U100" s="4" t="str">
        <f aca="false">IF(P100&lt;0.05,"YES","no")</f>
        <v>no</v>
      </c>
      <c r="V100" s="4" t="str">
        <f aca="false">IF(N100&gt;1,"YES","no")</f>
        <v>no</v>
      </c>
    </row>
    <row r="101" customFormat="false" ht="15" hidden="false" customHeight="false" outlineLevel="0" collapsed="false">
      <c r="A101" s="4" t="s">
        <v>412</v>
      </c>
      <c r="B101" s="4"/>
      <c r="C101" s="4" t="s">
        <v>72</v>
      </c>
      <c r="D101" s="8" t="n">
        <v>219.0986</v>
      </c>
      <c r="E101" s="9" t="n">
        <v>8.148</v>
      </c>
      <c r="F101" s="10" t="n">
        <v>885589.715559576</v>
      </c>
      <c r="G101" s="10" t="n">
        <v>629037.99297085</v>
      </c>
      <c r="H101" s="10" t="n">
        <v>3101198.95255308</v>
      </c>
      <c r="I101" s="10" t="n">
        <v>1862559.74129992</v>
      </c>
      <c r="J101" s="10" t="n">
        <v>1993394.33405633</v>
      </c>
      <c r="K101" s="11" t="n">
        <v>3.50184616879107</v>
      </c>
      <c r="L101" s="11" t="n">
        <v>1.80811570958622</v>
      </c>
      <c r="M101" s="11" t="n">
        <v>0.657642310921899</v>
      </c>
      <c r="N101" s="11" t="n">
        <v>0.431696141271184</v>
      </c>
      <c r="O101" s="12" t="n">
        <v>0.0321304919709217</v>
      </c>
      <c r="P101" s="12" t="n">
        <v>0.478364863336053</v>
      </c>
      <c r="Q101" s="4" t="n">
        <f aca="false">RANK(N101,$N$7:$N$307,0)</f>
        <v>95</v>
      </c>
      <c r="R101" s="4" t="n">
        <f aca="false">RANK(O101,$O$7:$O$307,1)</f>
        <v>16</v>
      </c>
      <c r="S101" s="4" t="n">
        <f aca="false">RANK(J101,$J$7:$J$307,0)</f>
        <v>175</v>
      </c>
      <c r="T101" s="4" t="str">
        <f aca="false">IF(O101&lt;0.05,"YES","no")</f>
        <v>YES</v>
      </c>
      <c r="U101" s="4" t="str">
        <f aca="false">IF(P101&lt;0.05,"YES","no")</f>
        <v>no</v>
      </c>
      <c r="V101" s="4" t="str">
        <f aca="false">IF(N101&gt;1,"YES","no")</f>
        <v>no</v>
      </c>
    </row>
    <row r="102" customFormat="false" ht="15" hidden="false" customHeight="false" outlineLevel="0" collapsed="false">
      <c r="A102" s="4" t="s">
        <v>197</v>
      </c>
      <c r="B102" s="4"/>
      <c r="C102" s="4" t="s">
        <v>61</v>
      </c>
      <c r="D102" s="8" t="n">
        <v>103.04002</v>
      </c>
      <c r="E102" s="9" t="n">
        <v>6.831</v>
      </c>
      <c r="F102" s="10" t="n">
        <v>7866758.24662369</v>
      </c>
      <c r="G102" s="10" t="n">
        <v>3952293.20663874</v>
      </c>
      <c r="H102" s="10" t="n">
        <v>6106749.99583313</v>
      </c>
      <c r="I102" s="10" t="n">
        <v>3642735.14358047</v>
      </c>
      <c r="J102" s="10" t="n">
        <v>6986754.12122841</v>
      </c>
      <c r="K102" s="11" t="n">
        <v>0.776272742136708</v>
      </c>
      <c r="L102" s="11" t="n">
        <v>-0.365364464904024</v>
      </c>
      <c r="M102" s="11" t="n">
        <v>0.245853740263735</v>
      </c>
      <c r="N102" s="11" t="n">
        <v>0.427646807132022</v>
      </c>
      <c r="O102" s="12" t="n">
        <v>0.441273492711192</v>
      </c>
      <c r="P102" s="12" t="n">
        <v>0.779874320834923</v>
      </c>
      <c r="Q102" s="4" t="n">
        <f aca="false">RANK(N102,$N$7:$N$307,0)</f>
        <v>96</v>
      </c>
      <c r="R102" s="4" t="n">
        <f aca="false">RANK(O102,$O$7:$O$307,1)</f>
        <v>168</v>
      </c>
      <c r="S102" s="4" t="n">
        <f aca="false">RANK(J102,$J$7:$J$307,0)</f>
        <v>114</v>
      </c>
      <c r="T102" s="4" t="str">
        <f aca="false">IF(O102&lt;0.05,"YES","no")</f>
        <v>no</v>
      </c>
      <c r="U102" s="4" t="str">
        <f aca="false">IF(P102&lt;0.05,"YES","no")</f>
        <v>no</v>
      </c>
      <c r="V102" s="4" t="str">
        <f aca="false">IF(N102&gt;1,"YES","no")</f>
        <v>no</v>
      </c>
    </row>
    <row r="103" customFormat="false" ht="15" hidden="false" customHeight="false" outlineLevel="0" collapsed="false">
      <c r="A103" s="4" t="s">
        <v>374</v>
      </c>
      <c r="B103" s="4"/>
      <c r="C103" s="4" t="s">
        <v>72</v>
      </c>
      <c r="D103" s="8" t="n">
        <v>189.1234</v>
      </c>
      <c r="E103" s="9" t="n">
        <v>7.441</v>
      </c>
      <c r="F103" s="10" t="n">
        <v>3074487.95353431</v>
      </c>
      <c r="G103" s="10" t="n">
        <v>1624317.90197192</v>
      </c>
      <c r="H103" s="10" t="n">
        <v>5663912.01460844</v>
      </c>
      <c r="I103" s="10" t="n">
        <v>2668081.85847661</v>
      </c>
      <c r="J103" s="10" t="n">
        <v>4369199.98407138</v>
      </c>
      <c r="K103" s="11" t="n">
        <v>1.8422293728936</v>
      </c>
      <c r="L103" s="11" t="n">
        <v>0.881452700155853</v>
      </c>
      <c r="M103" s="11" t="n">
        <v>0.540321184381841</v>
      </c>
      <c r="N103" s="11" t="n">
        <v>0.418843672545809</v>
      </c>
      <c r="O103" s="12" t="n">
        <v>0.0756820244480733</v>
      </c>
      <c r="P103" s="12" t="n">
        <v>0.545525735104785</v>
      </c>
      <c r="Q103" s="4" t="n">
        <f aca="false">RANK(N103,$N$7:$N$307,0)</f>
        <v>97</v>
      </c>
      <c r="R103" s="4" t="n">
        <f aca="false">RANK(O103,$O$7:$O$307,1)</f>
        <v>41</v>
      </c>
      <c r="S103" s="4" t="n">
        <f aca="false">RANK(J103,$J$7:$J$307,0)</f>
        <v>134</v>
      </c>
      <c r="T103" s="4" t="str">
        <f aca="false">IF(O103&lt;0.05,"YES","no")</f>
        <v>no</v>
      </c>
      <c r="U103" s="4" t="str">
        <f aca="false">IF(P103&lt;0.05,"YES","no")</f>
        <v>no</v>
      </c>
      <c r="V103" s="4" t="str">
        <f aca="false">IF(N103&gt;1,"YES","no")</f>
        <v>no</v>
      </c>
    </row>
    <row r="104" customFormat="false" ht="15" hidden="false" customHeight="false" outlineLevel="0" collapsed="false">
      <c r="A104" s="4" t="s">
        <v>124</v>
      </c>
      <c r="B104" s="4"/>
      <c r="C104" s="4" t="s">
        <v>72</v>
      </c>
      <c r="D104" s="8" t="n">
        <v>188.07061</v>
      </c>
      <c r="E104" s="9" t="n">
        <v>9.625</v>
      </c>
      <c r="F104" s="10" t="n">
        <v>17352811.8035421</v>
      </c>
      <c r="G104" s="10" t="n">
        <v>6116033.81951311</v>
      </c>
      <c r="H104" s="10" t="n">
        <v>20229181.8068553</v>
      </c>
      <c r="I104" s="10" t="n">
        <v>7174952.67951013</v>
      </c>
      <c r="J104" s="10" t="n">
        <v>18790996.8051987</v>
      </c>
      <c r="K104" s="11" t="n">
        <v>1.16575815123669</v>
      </c>
      <c r="L104" s="11" t="n">
        <v>0.221268517353234</v>
      </c>
      <c r="M104" s="11" t="n">
        <v>0.229987073378147</v>
      </c>
      <c r="N104" s="11" t="n">
        <v>0.41494122283498</v>
      </c>
      <c r="O104" s="12" t="n">
        <v>0.47250123849963</v>
      </c>
      <c r="P104" s="12" t="n">
        <v>0.785761728112644</v>
      </c>
      <c r="Q104" s="4" t="n">
        <f aca="false">RANK(N104,$N$7:$N$307,0)</f>
        <v>98</v>
      </c>
      <c r="R104" s="4" t="n">
        <f aca="false">RANK(O104,$O$7:$O$307,1)</f>
        <v>181</v>
      </c>
      <c r="S104" s="4" t="n">
        <f aca="false">RANK(J104,$J$7:$J$307,0)</f>
        <v>78</v>
      </c>
      <c r="T104" s="4" t="str">
        <f aca="false">IF(O104&lt;0.05,"YES","no")</f>
        <v>no</v>
      </c>
      <c r="U104" s="4" t="str">
        <f aca="false">IF(P104&lt;0.05,"YES","no")</f>
        <v>no</v>
      </c>
      <c r="V104" s="4" t="str">
        <f aca="false">IF(N104&gt;1,"YES","no")</f>
        <v>no</v>
      </c>
    </row>
    <row r="105" customFormat="false" ht="15" hidden="false" customHeight="false" outlineLevel="0" collapsed="false">
      <c r="A105" s="4" t="s">
        <v>129</v>
      </c>
      <c r="B105" s="4"/>
      <c r="C105" s="4" t="s">
        <v>61</v>
      </c>
      <c r="D105" s="8" t="n">
        <v>191.01965</v>
      </c>
      <c r="E105" s="9" t="n">
        <v>11.31</v>
      </c>
      <c r="F105" s="10" t="n">
        <v>12114544.3812586</v>
      </c>
      <c r="G105" s="10" t="n">
        <v>3350052.63759502</v>
      </c>
      <c r="H105" s="10" t="n">
        <v>11251278.5194977</v>
      </c>
      <c r="I105" s="10" t="n">
        <v>5252143.10759547</v>
      </c>
      <c r="J105" s="10" t="n">
        <v>11682911.4503782</v>
      </c>
      <c r="K105" s="11" t="n">
        <v>0.928741367847364</v>
      </c>
      <c r="L105" s="11" t="n">
        <v>-0.106651198250044</v>
      </c>
      <c r="M105" s="11" t="n">
        <v>0.106726611152243</v>
      </c>
      <c r="N105" s="11" t="n">
        <v>0.413881839274034</v>
      </c>
      <c r="O105" s="12" t="n">
        <v>0.742524086673733</v>
      </c>
      <c r="P105" s="12" t="n">
        <v>0.907830327241279</v>
      </c>
      <c r="Q105" s="4" t="n">
        <f aca="false">RANK(N105,$N$7:$N$307,0)</f>
        <v>99</v>
      </c>
      <c r="R105" s="4" t="n">
        <f aca="false">RANK(O105,$O$7:$O$307,1)</f>
        <v>246</v>
      </c>
      <c r="S105" s="4" t="n">
        <f aca="false">RANK(J105,$J$7:$J$307,0)</f>
        <v>96</v>
      </c>
      <c r="T105" s="4" t="str">
        <f aca="false">IF(O105&lt;0.05,"YES","no")</f>
        <v>no</v>
      </c>
      <c r="U105" s="4" t="str">
        <f aca="false">IF(P105&lt;0.05,"YES","no")</f>
        <v>no</v>
      </c>
      <c r="V105" s="4" t="str">
        <f aca="false">IF(N105&gt;1,"YES","no")</f>
        <v>no</v>
      </c>
    </row>
    <row r="106" customFormat="false" ht="15" hidden="false" customHeight="false" outlineLevel="0" collapsed="false">
      <c r="A106" s="4" t="s">
        <v>109</v>
      </c>
      <c r="B106" s="4"/>
      <c r="C106" s="4" t="s">
        <v>61</v>
      </c>
      <c r="D106" s="8" t="n">
        <v>151.02624</v>
      </c>
      <c r="E106" s="9" t="n">
        <v>8.62</v>
      </c>
      <c r="F106" s="10" t="n">
        <v>17482324.4933066</v>
      </c>
      <c r="G106" s="10" t="n">
        <v>7310094.77372231</v>
      </c>
      <c r="H106" s="10" t="n">
        <v>21212611.8438356</v>
      </c>
      <c r="I106" s="10" t="n">
        <v>3457941.45531776</v>
      </c>
      <c r="J106" s="10" t="n">
        <v>19347468.1685711</v>
      </c>
      <c r="K106" s="11" t="n">
        <v>1.21337479189093</v>
      </c>
      <c r="L106" s="11" t="n">
        <v>0.279025244510735</v>
      </c>
      <c r="M106" s="11" t="n">
        <v>0.336476662328907</v>
      </c>
      <c r="N106" s="11" t="n">
        <v>0.397716390782498</v>
      </c>
      <c r="O106" s="12" t="n">
        <v>0.295080978172792</v>
      </c>
      <c r="P106" s="12" t="n">
        <v>0.652060151640156</v>
      </c>
      <c r="Q106" s="4" t="n">
        <f aca="false">RANK(N106,$N$7:$N$307,0)</f>
        <v>100</v>
      </c>
      <c r="R106" s="4" t="n">
        <f aca="false">RANK(O106,$O$7:$O$307,1)</f>
        <v>133</v>
      </c>
      <c r="S106" s="4" t="n">
        <f aca="false">RANK(J106,$J$7:$J$307,0)</f>
        <v>74</v>
      </c>
      <c r="T106" s="4" t="str">
        <f aca="false">IF(O106&lt;0.05,"YES","no")</f>
        <v>no</v>
      </c>
      <c r="U106" s="4" t="str">
        <f aca="false">IF(P106&lt;0.05,"YES","no")</f>
        <v>no</v>
      </c>
      <c r="V106" s="4" t="str">
        <f aca="false">IF(N106&gt;1,"YES","no")</f>
        <v>no</v>
      </c>
    </row>
    <row r="107" customFormat="false" ht="15" hidden="false" customHeight="false" outlineLevel="0" collapsed="false">
      <c r="A107" s="4" t="s">
        <v>166</v>
      </c>
      <c r="B107" s="4"/>
      <c r="C107" s="4" t="s">
        <v>72</v>
      </c>
      <c r="D107" s="8" t="n">
        <v>149.06073</v>
      </c>
      <c r="E107" s="9" t="n">
        <v>4.849</v>
      </c>
      <c r="F107" s="10" t="n">
        <v>13978600.6432066</v>
      </c>
      <c r="G107" s="10" t="n">
        <v>6089969.19343693</v>
      </c>
      <c r="H107" s="10" t="n">
        <v>16483073.0732816</v>
      </c>
      <c r="I107" s="10" t="n">
        <v>6618071.11024559</v>
      </c>
      <c r="J107" s="10" t="n">
        <v>15230836.8582441</v>
      </c>
      <c r="K107" s="11" t="n">
        <v>1.17916474574243</v>
      </c>
      <c r="L107" s="11" t="n">
        <v>0.237765296995688</v>
      </c>
      <c r="M107" s="11" t="n">
        <v>0.210852303397507</v>
      </c>
      <c r="N107" s="11" t="n">
        <v>0.396012359174752</v>
      </c>
      <c r="O107" s="12" t="n">
        <v>0.51076427334882</v>
      </c>
      <c r="P107" s="12" t="n">
        <v>0.811140046532794</v>
      </c>
      <c r="Q107" s="4" t="n">
        <f aca="false">RANK(N107,$N$7:$N$307,0)</f>
        <v>101</v>
      </c>
      <c r="R107" s="4" t="n">
        <f aca="false">RANK(O107,$O$7:$O$307,1)</f>
        <v>189</v>
      </c>
      <c r="S107" s="4" t="n">
        <f aca="false">RANK(J107,$J$7:$J$307,0)</f>
        <v>83</v>
      </c>
      <c r="T107" s="4" t="str">
        <f aca="false">IF(O107&lt;0.05,"YES","no")</f>
        <v>no</v>
      </c>
      <c r="U107" s="4" t="str">
        <f aca="false">IF(P107&lt;0.05,"YES","no")</f>
        <v>no</v>
      </c>
      <c r="V107" s="4" t="str">
        <f aca="false">IF(N107&gt;1,"YES","no")</f>
        <v>no</v>
      </c>
    </row>
    <row r="108" customFormat="false" ht="15" hidden="false" customHeight="false" outlineLevel="0" collapsed="false">
      <c r="A108" s="4" t="s">
        <v>231</v>
      </c>
      <c r="B108" s="4"/>
      <c r="C108" s="4" t="s">
        <v>72</v>
      </c>
      <c r="D108" s="8" t="n">
        <v>324.09337</v>
      </c>
      <c r="E108" s="9" t="n">
        <v>9.448</v>
      </c>
      <c r="F108" s="10" t="n">
        <v>1907918.94210757</v>
      </c>
      <c r="G108" s="10" t="n">
        <v>405605.122150452</v>
      </c>
      <c r="H108" s="10" t="n">
        <v>3737437.13780669</v>
      </c>
      <c r="I108" s="10" t="n">
        <v>1635262.30928655</v>
      </c>
      <c r="J108" s="10" t="n">
        <v>2822678.03995713</v>
      </c>
      <c r="K108" s="11" t="n">
        <v>1.95890771631952</v>
      </c>
      <c r="L108" s="11" t="n">
        <v>0.97004943418326</v>
      </c>
      <c r="M108" s="11" t="n">
        <v>0.643696585248174</v>
      </c>
      <c r="N108" s="11" t="n">
        <v>0.388170653898727</v>
      </c>
      <c r="O108" s="12" t="n">
        <v>0.0400348817865955</v>
      </c>
      <c r="P108" s="12" t="n">
        <v>0.478364863336053</v>
      </c>
      <c r="Q108" s="4" t="n">
        <f aca="false">RANK(N108,$N$7:$N$307,0)</f>
        <v>102</v>
      </c>
      <c r="R108" s="4" t="n">
        <f aca="false">RANK(O108,$O$7:$O$307,1)</f>
        <v>23</v>
      </c>
      <c r="S108" s="4" t="n">
        <f aca="false">RANK(J108,$J$7:$J$307,0)</f>
        <v>159</v>
      </c>
      <c r="T108" s="4" t="str">
        <f aca="false">IF(O108&lt;0.05,"YES","no")</f>
        <v>YES</v>
      </c>
      <c r="U108" s="4" t="str">
        <f aca="false">IF(P108&lt;0.05,"YES","no")</f>
        <v>no</v>
      </c>
      <c r="V108" s="4" t="str">
        <f aca="false">IF(N108&gt;1,"YES","no")</f>
        <v>no</v>
      </c>
    </row>
    <row r="109" customFormat="false" ht="15" hidden="false" customHeight="false" outlineLevel="0" collapsed="false">
      <c r="A109" s="4" t="s">
        <v>215</v>
      </c>
      <c r="B109" s="4"/>
      <c r="C109" s="4" t="s">
        <v>72</v>
      </c>
      <c r="D109" s="8" t="n">
        <v>229.15467</v>
      </c>
      <c r="E109" s="9" t="n">
        <v>6.868</v>
      </c>
      <c r="F109" s="10" t="n">
        <v>3978474.23474212</v>
      </c>
      <c r="G109" s="10" t="n">
        <v>1363698.35594743</v>
      </c>
      <c r="H109" s="10" t="n">
        <v>6214443.76857345</v>
      </c>
      <c r="I109" s="10" t="n">
        <v>2719039.60299956</v>
      </c>
      <c r="J109" s="10" t="n">
        <v>5096459.00165778</v>
      </c>
      <c r="K109" s="11" t="n">
        <v>1.56201684412222</v>
      </c>
      <c r="L109" s="11" t="n">
        <v>0.643410010970654</v>
      </c>
      <c r="M109" s="11" t="n">
        <v>0.494797660430273</v>
      </c>
      <c r="N109" s="11" t="n">
        <v>0.385782648950698</v>
      </c>
      <c r="O109" s="12" t="n">
        <v>0.112678400701965</v>
      </c>
      <c r="P109" s="12" t="n">
        <v>0.569996631753627</v>
      </c>
      <c r="Q109" s="4" t="n">
        <f aca="false">RANK(N109,$N$7:$N$307,0)</f>
        <v>103</v>
      </c>
      <c r="R109" s="4" t="n">
        <f aca="false">RANK(O109,$O$7:$O$307,1)</f>
        <v>59</v>
      </c>
      <c r="S109" s="4" t="n">
        <f aca="false">RANK(J109,$J$7:$J$307,0)</f>
        <v>127</v>
      </c>
      <c r="T109" s="4" t="str">
        <f aca="false">IF(O109&lt;0.05,"YES","no")</f>
        <v>no</v>
      </c>
      <c r="U109" s="4" t="str">
        <f aca="false">IF(P109&lt;0.05,"YES","no")</f>
        <v>no</v>
      </c>
      <c r="V109" s="4" t="str">
        <f aca="false">IF(N109&gt;1,"YES","no")</f>
        <v>no</v>
      </c>
    </row>
    <row r="110" customFormat="false" ht="15" hidden="false" customHeight="false" outlineLevel="0" collapsed="false">
      <c r="A110" s="4" t="s">
        <v>149</v>
      </c>
      <c r="B110" s="4"/>
      <c r="C110" s="4" t="s">
        <v>61</v>
      </c>
      <c r="D110" s="8" t="n">
        <v>128.03532</v>
      </c>
      <c r="E110" s="9" t="n">
        <v>7.876</v>
      </c>
      <c r="F110" s="10" t="n">
        <v>10019135.0376688</v>
      </c>
      <c r="G110" s="10" t="n">
        <v>3022323.52196709</v>
      </c>
      <c r="H110" s="10" t="n">
        <v>12680169.5037324</v>
      </c>
      <c r="I110" s="10" t="n">
        <v>2830865.88547862</v>
      </c>
      <c r="J110" s="10" t="n">
        <v>11349652.2707006</v>
      </c>
      <c r="K110" s="11" t="n">
        <v>1.26559522913495</v>
      </c>
      <c r="L110" s="11" t="n">
        <v>0.339816066462277</v>
      </c>
      <c r="M110" s="11" t="n">
        <v>0.445605618272837</v>
      </c>
      <c r="N110" s="11" t="n">
        <v>0.385569061405848</v>
      </c>
      <c r="O110" s="12" t="n">
        <v>0.14668431900685</v>
      </c>
      <c r="P110" s="12" t="n">
        <v>0.59081559788972</v>
      </c>
      <c r="Q110" s="4" t="n">
        <f aca="false">RANK(N110,$N$7:$N$307,0)</f>
        <v>104</v>
      </c>
      <c r="R110" s="4" t="n">
        <f aca="false">RANK(O110,$O$7:$O$307,1)</f>
        <v>73</v>
      </c>
      <c r="S110" s="4" t="n">
        <f aca="false">RANK(J110,$J$7:$J$307,0)</f>
        <v>98</v>
      </c>
      <c r="T110" s="4" t="str">
        <f aca="false">IF(O110&lt;0.05,"YES","no")</f>
        <v>no</v>
      </c>
      <c r="U110" s="4" t="str">
        <f aca="false">IF(P110&lt;0.05,"YES","no")</f>
        <v>no</v>
      </c>
      <c r="V110" s="4" t="str">
        <f aca="false">IF(N110&gt;1,"YES","no")</f>
        <v>no</v>
      </c>
    </row>
    <row r="111" customFormat="false" ht="15" hidden="false" customHeight="false" outlineLevel="0" collapsed="false">
      <c r="A111" s="4" t="s">
        <v>275</v>
      </c>
      <c r="B111" s="4"/>
      <c r="C111" s="4" t="s">
        <v>72</v>
      </c>
      <c r="D111" s="8" t="n">
        <v>324.05918</v>
      </c>
      <c r="E111" s="9" t="n">
        <v>10.414</v>
      </c>
      <c r="F111" s="10" t="n">
        <v>3525774.63919673</v>
      </c>
      <c r="G111" s="10" t="n">
        <v>868538.81252647</v>
      </c>
      <c r="H111" s="10" t="n">
        <v>2438961.29703752</v>
      </c>
      <c r="I111" s="10" t="n">
        <v>705460.539855523</v>
      </c>
      <c r="J111" s="10" t="n">
        <v>2982367.96811713</v>
      </c>
      <c r="K111" s="11" t="n">
        <v>0.691751897561206</v>
      </c>
      <c r="L111" s="11" t="n">
        <v>-0.531673398555368</v>
      </c>
      <c r="M111" s="11" t="n">
        <v>0.60120342699251</v>
      </c>
      <c r="N111" s="11" t="n">
        <v>0.379221533093951</v>
      </c>
      <c r="O111" s="12" t="n">
        <v>0.039653756524648</v>
      </c>
      <c r="P111" s="12" t="n">
        <v>0.478364863336053</v>
      </c>
      <c r="Q111" s="4" t="n">
        <f aca="false">RANK(N111,$N$7:$N$307,0)</f>
        <v>105</v>
      </c>
      <c r="R111" s="4" t="n">
        <f aca="false">RANK(O111,$O$7:$O$307,1)</f>
        <v>22</v>
      </c>
      <c r="S111" s="4" t="n">
        <f aca="false">RANK(J111,$J$7:$J$307,0)</f>
        <v>157</v>
      </c>
      <c r="T111" s="4" t="str">
        <f aca="false">IF(O111&lt;0.05,"YES","no")</f>
        <v>YES</v>
      </c>
      <c r="U111" s="4" t="str">
        <f aca="false">IF(P111&lt;0.05,"YES","no")</f>
        <v>no</v>
      </c>
      <c r="V111" s="4" t="str">
        <f aca="false">IF(N111&gt;1,"YES","no")</f>
        <v>no</v>
      </c>
    </row>
    <row r="112" customFormat="false" ht="15" hidden="false" customHeight="false" outlineLevel="0" collapsed="false">
      <c r="A112" s="4" t="s">
        <v>242</v>
      </c>
      <c r="B112" s="4" t="s">
        <v>243</v>
      </c>
      <c r="C112" s="4" t="s">
        <v>72</v>
      </c>
      <c r="D112" s="8" t="n">
        <v>170.09233</v>
      </c>
      <c r="E112" s="9" t="n">
        <v>11.892</v>
      </c>
      <c r="F112" s="10" t="n">
        <v>2111118.12841787</v>
      </c>
      <c r="G112" s="10" t="n">
        <v>1750052.27740711</v>
      </c>
      <c r="H112" s="10" t="n">
        <v>3904887.98435945</v>
      </c>
      <c r="I112" s="10" t="n">
        <v>995869.402484488</v>
      </c>
      <c r="J112" s="10" t="n">
        <v>3008003.05638866</v>
      </c>
      <c r="K112" s="11" t="n">
        <v>1.84967763375983</v>
      </c>
      <c r="L112" s="11" t="n">
        <v>0.88727385630862</v>
      </c>
      <c r="M112" s="11" t="n">
        <v>0.567949978231461</v>
      </c>
      <c r="N112" s="11" t="n">
        <v>0.374847708785065</v>
      </c>
      <c r="O112" s="12" t="n">
        <v>0.0609526346227703</v>
      </c>
      <c r="P112" s="12" t="n">
        <v>0.524192657755824</v>
      </c>
      <c r="Q112" s="4" t="n">
        <f aca="false">RANK(N112,$N$7:$N$307,0)</f>
        <v>106</v>
      </c>
      <c r="R112" s="4" t="n">
        <f aca="false">RANK(O112,$O$7:$O$307,1)</f>
        <v>35</v>
      </c>
      <c r="S112" s="4" t="n">
        <f aca="false">RANK(J112,$J$7:$J$307,0)</f>
        <v>154</v>
      </c>
      <c r="T112" s="4" t="str">
        <f aca="false">IF(O112&lt;0.05,"YES","no")</f>
        <v>no</v>
      </c>
      <c r="U112" s="4" t="str">
        <f aca="false">IF(P112&lt;0.05,"YES","no")</f>
        <v>no</v>
      </c>
      <c r="V112" s="4" t="str">
        <f aca="false">IF(N112&gt;1,"YES","no")</f>
        <v>no</v>
      </c>
    </row>
    <row r="113" customFormat="false" ht="15" hidden="false" customHeight="false" outlineLevel="0" collapsed="false">
      <c r="A113" s="4" t="s">
        <v>227</v>
      </c>
      <c r="B113" s="4" t="s">
        <v>228</v>
      </c>
      <c r="C113" s="4" t="s">
        <v>72</v>
      </c>
      <c r="D113" s="8" t="n">
        <v>399.14458</v>
      </c>
      <c r="E113" s="9" t="n">
        <v>13.827</v>
      </c>
      <c r="F113" s="10" t="n">
        <v>14353152.1689262</v>
      </c>
      <c r="G113" s="10" t="n">
        <v>5005767.31827731</v>
      </c>
      <c r="H113" s="10" t="n">
        <v>13313286.1933771</v>
      </c>
      <c r="I113" s="10" t="n">
        <v>6532087.07818164</v>
      </c>
      <c r="J113" s="10" t="n">
        <v>13833219.1811517</v>
      </c>
      <c r="K113" s="11" t="n">
        <v>0.927551386391599</v>
      </c>
      <c r="L113" s="11" t="n">
        <v>-0.10850088556497</v>
      </c>
      <c r="M113" s="11" t="n">
        <v>0.097410416686604</v>
      </c>
      <c r="N113" s="11" t="n">
        <v>0.374040620186473</v>
      </c>
      <c r="O113" s="12" t="n">
        <v>0.763708140506943</v>
      </c>
      <c r="P113" s="12" t="n">
        <v>0.908601384555691</v>
      </c>
      <c r="Q113" s="4" t="n">
        <f aca="false">RANK(N113,$N$7:$N$307,0)</f>
        <v>107</v>
      </c>
      <c r="R113" s="4" t="n">
        <f aca="false">RANK(O113,$O$7:$O$307,1)</f>
        <v>253</v>
      </c>
      <c r="S113" s="4" t="n">
        <f aca="false">RANK(J113,$J$7:$J$307,0)</f>
        <v>90</v>
      </c>
      <c r="T113" s="4" t="str">
        <f aca="false">IF(O113&lt;0.05,"YES","no")</f>
        <v>no</v>
      </c>
      <c r="U113" s="4" t="str">
        <f aca="false">IF(P113&lt;0.05,"YES","no")</f>
        <v>no</v>
      </c>
      <c r="V113" s="4" t="str">
        <f aca="false">IF(N113&gt;1,"YES","no")</f>
        <v>no</v>
      </c>
    </row>
    <row r="114" customFormat="false" ht="15" hidden="false" customHeight="false" outlineLevel="0" collapsed="false">
      <c r="A114" s="4" t="s">
        <v>299</v>
      </c>
      <c r="B114" s="4" t="s">
        <v>300</v>
      </c>
      <c r="C114" s="4" t="s">
        <v>72</v>
      </c>
      <c r="D114" s="8" t="n">
        <v>442.01716</v>
      </c>
      <c r="E114" s="9" t="n">
        <v>10.732</v>
      </c>
      <c r="F114" s="10" t="n">
        <v>2312354.97192079</v>
      </c>
      <c r="G114" s="10" t="n">
        <v>1189053.90939266</v>
      </c>
      <c r="H114" s="10" t="n">
        <v>908871.450788877</v>
      </c>
      <c r="I114" s="10" t="n">
        <v>543246.785977177</v>
      </c>
      <c r="J114" s="10" t="n">
        <v>1610613.21135484</v>
      </c>
      <c r="K114" s="11" t="n">
        <v>0.393050142311804</v>
      </c>
      <c r="L114" s="11" t="n">
        <v>-1.34721472273405</v>
      </c>
      <c r="M114" s="11" t="n">
        <v>0.639399035690908</v>
      </c>
      <c r="N114" s="11" t="n">
        <v>0.370985862189807</v>
      </c>
      <c r="O114" s="12" t="n">
        <v>0.0339236228545758</v>
      </c>
      <c r="P114" s="12" t="n">
        <v>0.478364863336053</v>
      </c>
      <c r="Q114" s="4" t="n">
        <f aca="false">RANK(N114,$N$7:$N$307,0)</f>
        <v>108</v>
      </c>
      <c r="R114" s="4" t="n">
        <f aca="false">RANK(O114,$O$7:$O$307,1)</f>
        <v>19</v>
      </c>
      <c r="S114" s="4" t="n">
        <f aca="false">RANK(J114,$J$7:$J$307,0)</f>
        <v>190</v>
      </c>
      <c r="T114" s="4" t="str">
        <f aca="false">IF(O114&lt;0.05,"YES","no")</f>
        <v>YES</v>
      </c>
      <c r="U114" s="4" t="str">
        <f aca="false">IF(P114&lt;0.05,"YES","no")</f>
        <v>no</v>
      </c>
      <c r="V114" s="4" t="str">
        <f aca="false">IF(N114&gt;1,"YES","no")</f>
        <v>no</v>
      </c>
    </row>
    <row r="115" customFormat="false" ht="15" hidden="false" customHeight="false" outlineLevel="0" collapsed="false">
      <c r="A115" s="4" t="s">
        <v>145</v>
      </c>
      <c r="B115" s="4"/>
      <c r="C115" s="4" t="s">
        <v>61</v>
      </c>
      <c r="D115" s="8" t="n">
        <v>167.02115</v>
      </c>
      <c r="E115" s="9" t="n">
        <v>8.643</v>
      </c>
      <c r="F115" s="10" t="n">
        <v>17845077.7208843</v>
      </c>
      <c r="G115" s="10" t="n">
        <v>11605243.1745182</v>
      </c>
      <c r="H115" s="10" t="n">
        <v>20330208.4577569</v>
      </c>
      <c r="I115" s="10" t="n">
        <v>6551325.9181704</v>
      </c>
      <c r="J115" s="10" t="n">
        <v>19087643.0893206</v>
      </c>
      <c r="K115" s="11" t="n">
        <v>1.13926141290851</v>
      </c>
      <c r="L115" s="11" t="n">
        <v>0.188098823283595</v>
      </c>
      <c r="M115" s="11" t="n">
        <v>0.142960975166951</v>
      </c>
      <c r="N115" s="11" t="n">
        <v>0.368149824257466</v>
      </c>
      <c r="O115" s="12" t="n">
        <v>0.660141118858186</v>
      </c>
      <c r="P115" s="12" t="n">
        <v>0.881168181006632</v>
      </c>
      <c r="Q115" s="4" t="n">
        <f aca="false">RANK(N115,$N$7:$N$307,0)</f>
        <v>109</v>
      </c>
      <c r="R115" s="4" t="n">
        <f aca="false">RANK(O115,$O$7:$O$307,1)</f>
        <v>223</v>
      </c>
      <c r="S115" s="4" t="n">
        <f aca="false">RANK(J115,$J$7:$J$307,0)</f>
        <v>75</v>
      </c>
      <c r="T115" s="4" t="str">
        <f aca="false">IF(O115&lt;0.05,"YES","no")</f>
        <v>no</v>
      </c>
      <c r="U115" s="4" t="str">
        <f aca="false">IF(P115&lt;0.05,"YES","no")</f>
        <v>no</v>
      </c>
      <c r="V115" s="4" t="str">
        <f aca="false">IF(N115&gt;1,"YES","no")</f>
        <v>no</v>
      </c>
    </row>
    <row r="116" customFormat="false" ht="15" hidden="false" customHeight="false" outlineLevel="0" collapsed="false">
      <c r="A116" s="4" t="s">
        <v>160</v>
      </c>
      <c r="B116" s="4"/>
      <c r="C116" s="4" t="s">
        <v>61</v>
      </c>
      <c r="D116" s="8" t="n">
        <v>147.02994</v>
      </c>
      <c r="E116" s="9" t="n">
        <v>9.279</v>
      </c>
      <c r="F116" s="10" t="n">
        <v>8753165.21552313</v>
      </c>
      <c r="G116" s="10" t="n">
        <v>4682955.1196803</v>
      </c>
      <c r="H116" s="10" t="n">
        <v>11828731.4077804</v>
      </c>
      <c r="I116" s="10" t="n">
        <v>7933082.48405197</v>
      </c>
      <c r="J116" s="10" t="n">
        <v>10290948.3116518</v>
      </c>
      <c r="K116" s="11" t="n">
        <v>1.35136617629506</v>
      </c>
      <c r="L116" s="11" t="n">
        <v>0.434418651084807</v>
      </c>
      <c r="M116" s="11" t="n">
        <v>0.250369869777538</v>
      </c>
      <c r="N116" s="11" t="n">
        <v>0.358942628687403</v>
      </c>
      <c r="O116" s="12" t="n">
        <v>0.436852539996044</v>
      </c>
      <c r="P116" s="12" t="n">
        <v>0.779874320834923</v>
      </c>
      <c r="Q116" s="4" t="n">
        <f aca="false">RANK(N116,$N$7:$N$307,0)</f>
        <v>110</v>
      </c>
      <c r="R116" s="4" t="n">
        <f aca="false">RANK(O116,$O$7:$O$307,1)</f>
        <v>167</v>
      </c>
      <c r="S116" s="4" t="n">
        <f aca="false">RANK(J116,$J$7:$J$307,0)</f>
        <v>100</v>
      </c>
      <c r="T116" s="4" t="str">
        <f aca="false">IF(O116&lt;0.05,"YES","no")</f>
        <v>no</v>
      </c>
      <c r="U116" s="4" t="str">
        <f aca="false">IF(P116&lt;0.05,"YES","no")</f>
        <v>no</v>
      </c>
      <c r="V116" s="4" t="str">
        <f aca="false">IF(N116&gt;1,"YES","no")</f>
        <v>no</v>
      </c>
    </row>
    <row r="117" customFormat="false" ht="15" hidden="false" customHeight="false" outlineLevel="0" collapsed="false">
      <c r="A117" s="4" t="s">
        <v>126</v>
      </c>
      <c r="B117" s="4"/>
      <c r="C117" s="4" t="s">
        <v>72</v>
      </c>
      <c r="D117" s="8" t="n">
        <v>154.06224</v>
      </c>
      <c r="E117" s="9" t="n">
        <v>12.328</v>
      </c>
      <c r="F117" s="10" t="n">
        <v>36358638.9992455</v>
      </c>
      <c r="G117" s="10" t="n">
        <v>11103039.5109645</v>
      </c>
      <c r="H117" s="10" t="n">
        <v>35460383.8357274</v>
      </c>
      <c r="I117" s="10" t="n">
        <v>9970786.99694629</v>
      </c>
      <c r="J117" s="10" t="n">
        <v>35909511.4174864</v>
      </c>
      <c r="K117" s="11" t="n">
        <v>0.975294587799706</v>
      </c>
      <c r="L117" s="11" t="n">
        <v>-0.0360900440604126</v>
      </c>
      <c r="M117" s="11" t="n">
        <v>0.0465746355393314</v>
      </c>
      <c r="N117" s="11" t="n">
        <v>0.357983154289173</v>
      </c>
      <c r="O117" s="12" t="n">
        <v>0.885746693494221</v>
      </c>
      <c r="P117" s="12" t="n">
        <v>0.939393851378877</v>
      </c>
      <c r="Q117" s="4" t="n">
        <f aca="false">RANK(N117,$N$7:$N$307,0)</f>
        <v>111</v>
      </c>
      <c r="R117" s="4" t="n">
        <f aca="false">RANK(O117,$O$7:$O$307,1)</f>
        <v>283</v>
      </c>
      <c r="S117" s="4" t="n">
        <f aca="false">RANK(J117,$J$7:$J$307,0)</f>
        <v>51</v>
      </c>
      <c r="T117" s="4" t="str">
        <f aca="false">IF(O117&lt;0.05,"YES","no")</f>
        <v>no</v>
      </c>
      <c r="U117" s="4" t="str">
        <f aca="false">IF(P117&lt;0.05,"YES","no")</f>
        <v>no</v>
      </c>
      <c r="V117" s="4" t="str">
        <f aca="false">IF(N117&gt;1,"YES","no")</f>
        <v>no</v>
      </c>
    </row>
    <row r="118" customFormat="false" ht="15" hidden="false" customHeight="false" outlineLevel="0" collapsed="false">
      <c r="A118" s="4" t="s">
        <v>112</v>
      </c>
      <c r="B118" s="4" t="s">
        <v>113</v>
      </c>
      <c r="C118" s="4" t="s">
        <v>72</v>
      </c>
      <c r="D118" s="8" t="n">
        <v>134.05998</v>
      </c>
      <c r="E118" s="9" t="n">
        <v>6.153</v>
      </c>
      <c r="F118" s="10" t="n">
        <v>2748319.94687679</v>
      </c>
      <c r="G118" s="10" t="n">
        <v>1107837.09447434</v>
      </c>
      <c r="H118" s="10" t="n">
        <v>4787519.53285218</v>
      </c>
      <c r="I118" s="10" t="n">
        <v>2935385.2379869</v>
      </c>
      <c r="J118" s="10" t="n">
        <v>3767919.73986449</v>
      </c>
      <c r="K118" s="11" t="n">
        <v>1.7419804190894</v>
      </c>
      <c r="L118" s="11" t="n">
        <v>0.800728407265483</v>
      </c>
      <c r="M118" s="11" t="n">
        <v>0.449675332411418</v>
      </c>
      <c r="N118" s="11" t="n">
        <v>0.350135333433374</v>
      </c>
      <c r="O118" s="12" t="n">
        <v>0.159423490354379</v>
      </c>
      <c r="P118" s="12" t="n">
        <v>0.59081559788972</v>
      </c>
      <c r="Q118" s="4" t="n">
        <f aca="false">RANK(N118,$N$7:$N$307,0)</f>
        <v>112</v>
      </c>
      <c r="R118" s="4" t="n">
        <f aca="false">RANK(O118,$O$7:$O$307,1)</f>
        <v>80</v>
      </c>
      <c r="S118" s="4" t="n">
        <f aca="false">RANK(J118,$J$7:$J$307,0)</f>
        <v>142</v>
      </c>
      <c r="T118" s="4" t="str">
        <f aca="false">IF(O118&lt;0.05,"YES","no")</f>
        <v>no</v>
      </c>
      <c r="U118" s="4" t="str">
        <f aca="false">IF(P118&lt;0.05,"YES","no")</f>
        <v>no</v>
      </c>
      <c r="V118" s="4" t="str">
        <f aca="false">IF(N118&gt;1,"YES","no")</f>
        <v>no</v>
      </c>
    </row>
    <row r="119" customFormat="false" ht="15" hidden="false" customHeight="false" outlineLevel="0" collapsed="false">
      <c r="A119" s="4" t="s">
        <v>80</v>
      </c>
      <c r="B119" s="4"/>
      <c r="C119" s="4" t="s">
        <v>61</v>
      </c>
      <c r="D119" s="8" t="n">
        <v>139.05016</v>
      </c>
      <c r="E119" s="9" t="n">
        <v>8.782</v>
      </c>
      <c r="F119" s="10" t="n">
        <v>18538715.1769018</v>
      </c>
      <c r="G119" s="10" t="n">
        <v>3545343.98540287</v>
      </c>
      <c r="H119" s="10" t="n">
        <v>15547372.9636587</v>
      </c>
      <c r="I119" s="10" t="n">
        <v>5699757.99393544</v>
      </c>
      <c r="J119" s="10" t="n">
        <v>17043044.0702802</v>
      </c>
      <c r="K119" s="11" t="n">
        <v>0.838643499039774</v>
      </c>
      <c r="L119" s="11" t="n">
        <v>-0.2538704325764</v>
      </c>
      <c r="M119" s="11" t="n">
        <v>0.326299392116404</v>
      </c>
      <c r="N119" s="11" t="n">
        <v>0.349600099799478</v>
      </c>
      <c r="O119" s="12" t="n">
        <v>0.305450104256685</v>
      </c>
      <c r="P119" s="12" t="n">
        <v>0.652060151640156</v>
      </c>
      <c r="Q119" s="4" t="n">
        <f aca="false">RANK(N119,$N$7:$N$307,0)</f>
        <v>113</v>
      </c>
      <c r="R119" s="4" t="n">
        <f aca="false">RANK(O119,$O$7:$O$307,1)</f>
        <v>141</v>
      </c>
      <c r="S119" s="4" t="n">
        <f aca="false">RANK(J119,$J$7:$J$307,0)</f>
        <v>80</v>
      </c>
      <c r="T119" s="4" t="str">
        <f aca="false">IF(O119&lt;0.05,"YES","no")</f>
        <v>no</v>
      </c>
      <c r="U119" s="4" t="str">
        <f aca="false">IF(P119&lt;0.05,"YES","no")</f>
        <v>no</v>
      </c>
      <c r="V119" s="4" t="str">
        <f aca="false">IF(N119&gt;1,"YES","no")</f>
        <v>no</v>
      </c>
    </row>
    <row r="120" customFormat="false" ht="15" hidden="false" customHeight="false" outlineLevel="0" collapsed="false">
      <c r="A120" s="4" t="s">
        <v>135</v>
      </c>
      <c r="B120" s="4"/>
      <c r="C120" s="4" t="s">
        <v>61</v>
      </c>
      <c r="D120" s="8" t="n">
        <v>118.06106</v>
      </c>
      <c r="E120" s="9" t="n">
        <v>11.849</v>
      </c>
      <c r="F120" s="10" t="n">
        <v>15033342.5063547</v>
      </c>
      <c r="G120" s="10" t="n">
        <v>4124355.72294212</v>
      </c>
      <c r="H120" s="10" t="n">
        <v>14096639.2133904</v>
      </c>
      <c r="I120" s="10" t="n">
        <v>5611331.68205645</v>
      </c>
      <c r="J120" s="10" t="n">
        <v>14564990.8598725</v>
      </c>
      <c r="K120" s="11" t="n">
        <v>0.937691614983937</v>
      </c>
      <c r="L120" s="11" t="n">
        <v>-0.0928145630687725</v>
      </c>
      <c r="M120" s="11" t="n">
        <v>0.103627299544921</v>
      </c>
      <c r="N120" s="11" t="n">
        <v>0.349542406644981</v>
      </c>
      <c r="O120" s="12" t="n">
        <v>0.749190687244048</v>
      </c>
      <c r="P120" s="12" t="n">
        <v>0.907830327241279</v>
      </c>
      <c r="Q120" s="4" t="n">
        <f aca="false">RANK(N120,$N$7:$N$307,0)</f>
        <v>114</v>
      </c>
      <c r="R120" s="4" t="n">
        <f aca="false">RANK(O120,$O$7:$O$307,1)</f>
        <v>247</v>
      </c>
      <c r="S120" s="4" t="n">
        <f aca="false">RANK(J120,$J$7:$J$307,0)</f>
        <v>86</v>
      </c>
      <c r="T120" s="4" t="str">
        <f aca="false">IF(O120&lt;0.05,"YES","no")</f>
        <v>no</v>
      </c>
      <c r="U120" s="4" t="str">
        <f aca="false">IF(P120&lt;0.05,"YES","no")</f>
        <v>no</v>
      </c>
      <c r="V120" s="4" t="str">
        <f aca="false">IF(N120&gt;1,"YES","no")</f>
        <v>no</v>
      </c>
    </row>
    <row r="121" customFormat="false" ht="15" hidden="false" customHeight="false" outlineLevel="0" collapsed="false">
      <c r="A121" s="4" t="s">
        <v>159</v>
      </c>
      <c r="B121" s="4"/>
      <c r="C121" s="4" t="s">
        <v>72</v>
      </c>
      <c r="D121" s="8" t="n">
        <v>137.07089</v>
      </c>
      <c r="E121" s="9" t="n">
        <v>7.879</v>
      </c>
      <c r="F121" s="10" t="n">
        <v>39120020.6954626</v>
      </c>
      <c r="G121" s="10" t="n">
        <v>8470090.82056439</v>
      </c>
      <c r="H121" s="10" t="n">
        <v>41537108.6332905</v>
      </c>
      <c r="I121" s="10" t="n">
        <v>16966320.1456129</v>
      </c>
      <c r="J121" s="10" t="n">
        <v>40328564.6643766</v>
      </c>
      <c r="K121" s="11" t="n">
        <v>1.06178646879162</v>
      </c>
      <c r="L121" s="11" t="n">
        <v>0.0864936612553797</v>
      </c>
      <c r="M121" s="11" t="n">
        <v>0.0982545456283763</v>
      </c>
      <c r="N121" s="11" t="n">
        <v>0.338788290151043</v>
      </c>
      <c r="O121" s="12" t="n">
        <v>0.763550313317854</v>
      </c>
      <c r="P121" s="12" t="n">
        <v>0.908601384555691</v>
      </c>
      <c r="Q121" s="4" t="n">
        <f aca="false">RANK(N121,$N$7:$N$307,0)</f>
        <v>115</v>
      </c>
      <c r="R121" s="4" t="n">
        <f aca="false">RANK(O121,$O$7:$O$307,1)</f>
        <v>252</v>
      </c>
      <c r="S121" s="4" t="n">
        <f aca="false">RANK(J121,$J$7:$J$307,0)</f>
        <v>47</v>
      </c>
      <c r="T121" s="4" t="str">
        <f aca="false">IF(O121&lt;0.05,"YES","no")</f>
        <v>no</v>
      </c>
      <c r="U121" s="4" t="str">
        <f aca="false">IF(P121&lt;0.05,"YES","no")</f>
        <v>no</v>
      </c>
      <c r="V121" s="4" t="str">
        <f aca="false">IF(N121&gt;1,"YES","no")</f>
        <v>no</v>
      </c>
    </row>
    <row r="122" customFormat="false" ht="15" hidden="false" customHeight="false" outlineLevel="0" collapsed="false">
      <c r="A122" s="4" t="s">
        <v>269</v>
      </c>
      <c r="B122" s="4"/>
      <c r="C122" s="4" t="s">
        <v>72</v>
      </c>
      <c r="D122" s="8" t="n">
        <v>571.28961</v>
      </c>
      <c r="E122" s="9" t="n">
        <v>4.45</v>
      </c>
      <c r="F122" s="10" t="n">
        <v>3357426.92677454</v>
      </c>
      <c r="G122" s="10" t="n">
        <v>2159761.10603962</v>
      </c>
      <c r="H122" s="10" t="n">
        <v>5111167.25655188</v>
      </c>
      <c r="I122" s="10" t="n">
        <v>1466764.64580481</v>
      </c>
      <c r="J122" s="10" t="n">
        <v>4234297.09166321</v>
      </c>
      <c r="K122" s="11" t="n">
        <v>1.52234653740094</v>
      </c>
      <c r="L122" s="11" t="n">
        <v>0.606296802259991</v>
      </c>
      <c r="M122" s="11" t="n">
        <v>0.461581751186788</v>
      </c>
      <c r="N122" s="11" t="n">
        <v>0.320339510455483</v>
      </c>
      <c r="O122" s="12" t="n">
        <v>0.135046583320189</v>
      </c>
      <c r="P122" s="12" t="n">
        <v>0.59081559788972</v>
      </c>
      <c r="Q122" s="4" t="n">
        <f aca="false">RANK(N122,$N$7:$N$307,0)</f>
        <v>116</v>
      </c>
      <c r="R122" s="4" t="n">
        <f aca="false">RANK(O122,$O$7:$O$307,1)</f>
        <v>67</v>
      </c>
      <c r="S122" s="4" t="n">
        <f aca="false">RANK(J122,$J$7:$J$307,0)</f>
        <v>136</v>
      </c>
      <c r="T122" s="4" t="str">
        <f aca="false">IF(O122&lt;0.05,"YES","no")</f>
        <v>no</v>
      </c>
      <c r="U122" s="4" t="str">
        <f aca="false">IF(P122&lt;0.05,"YES","no")</f>
        <v>no</v>
      </c>
      <c r="V122" s="4" t="str">
        <f aca="false">IF(N122&gt;1,"YES","no")</f>
        <v>no</v>
      </c>
    </row>
    <row r="123" customFormat="false" ht="15" hidden="false" customHeight="false" outlineLevel="0" collapsed="false">
      <c r="A123" s="4" t="s">
        <v>367</v>
      </c>
      <c r="B123" s="4"/>
      <c r="C123" s="4" t="s">
        <v>72</v>
      </c>
      <c r="D123" s="8" t="n">
        <v>227.11376</v>
      </c>
      <c r="E123" s="9" t="n">
        <v>9.443</v>
      </c>
      <c r="F123" s="10" t="n">
        <v>3734969.15432814</v>
      </c>
      <c r="G123" s="10" t="n">
        <v>1818502.70721275</v>
      </c>
      <c r="H123" s="10" t="n">
        <v>5677404.70539494</v>
      </c>
      <c r="I123" s="10" t="n">
        <v>2964879.30877348</v>
      </c>
      <c r="J123" s="10" t="n">
        <v>4706186.92986154</v>
      </c>
      <c r="K123" s="11" t="n">
        <v>1.52006736088192</v>
      </c>
      <c r="L123" s="11" t="n">
        <v>0.604135257258988</v>
      </c>
      <c r="M123" s="11" t="n">
        <v>0.397031937067038</v>
      </c>
      <c r="N123" s="11" t="n">
        <v>0.311430698731193</v>
      </c>
      <c r="O123" s="12" t="n">
        <v>0.207228696682033</v>
      </c>
      <c r="P123" s="12" t="n">
        <v>0.605590657294096</v>
      </c>
      <c r="Q123" s="4" t="n">
        <f aca="false">RANK(N123,$N$7:$N$307,0)</f>
        <v>117</v>
      </c>
      <c r="R123" s="4" t="n">
        <f aca="false">RANK(O123,$O$7:$O$307,1)</f>
        <v>103</v>
      </c>
      <c r="S123" s="4" t="n">
        <f aca="false">RANK(J123,$J$7:$J$307,0)</f>
        <v>130</v>
      </c>
      <c r="T123" s="4" t="str">
        <f aca="false">IF(O123&lt;0.05,"YES","no")</f>
        <v>no</v>
      </c>
      <c r="U123" s="4" t="str">
        <f aca="false">IF(P123&lt;0.05,"YES","no")</f>
        <v>no</v>
      </c>
      <c r="V123" s="4" t="str">
        <f aca="false">IF(N123&gt;1,"YES","no")</f>
        <v>no</v>
      </c>
    </row>
    <row r="124" customFormat="false" ht="15" hidden="false" customHeight="false" outlineLevel="0" collapsed="false">
      <c r="A124" s="4" t="s">
        <v>96</v>
      </c>
      <c r="B124" s="4"/>
      <c r="C124" s="4" t="s">
        <v>61</v>
      </c>
      <c r="D124" s="8" t="n">
        <v>175.00169</v>
      </c>
      <c r="E124" s="9" t="n">
        <v>8.607</v>
      </c>
      <c r="F124" s="10" t="n">
        <v>25794375.5826599</v>
      </c>
      <c r="G124" s="10" t="n">
        <v>8786052.25838205</v>
      </c>
      <c r="H124" s="10" t="n">
        <v>23240285.7207531</v>
      </c>
      <c r="I124" s="10" t="n">
        <v>10942354.1051347</v>
      </c>
      <c r="J124" s="10" t="n">
        <v>24517330.6517065</v>
      </c>
      <c r="K124" s="11" t="n">
        <v>0.900982683076705</v>
      </c>
      <c r="L124" s="11" t="n">
        <v>-0.150428717238612</v>
      </c>
      <c r="M124" s="11" t="n">
        <v>0.139599070500142</v>
      </c>
      <c r="N124" s="11" t="n">
        <v>0.311422647247081</v>
      </c>
      <c r="O124" s="12" t="n">
        <v>0.665661933199587</v>
      </c>
      <c r="P124" s="12" t="n">
        <v>0.881168181006632</v>
      </c>
      <c r="Q124" s="4" t="n">
        <f aca="false">RANK(N124,$N$7:$N$307,0)</f>
        <v>118</v>
      </c>
      <c r="R124" s="4" t="n">
        <f aca="false">RANK(O124,$O$7:$O$307,1)</f>
        <v>224</v>
      </c>
      <c r="S124" s="4" t="n">
        <f aca="false">RANK(J124,$J$7:$J$307,0)</f>
        <v>67</v>
      </c>
      <c r="T124" s="4" t="str">
        <f aca="false">IF(O124&lt;0.05,"YES","no")</f>
        <v>no</v>
      </c>
      <c r="U124" s="4" t="str">
        <f aca="false">IF(P124&lt;0.05,"YES","no")</f>
        <v>no</v>
      </c>
      <c r="V124" s="4" t="str">
        <f aca="false">IF(N124&gt;1,"YES","no")</f>
        <v>no</v>
      </c>
    </row>
    <row r="125" customFormat="false" ht="15" hidden="false" customHeight="false" outlineLevel="0" collapsed="false">
      <c r="A125" s="4" t="s">
        <v>155</v>
      </c>
      <c r="B125" s="4"/>
      <c r="C125" s="4" t="s">
        <v>61</v>
      </c>
      <c r="D125" s="8" t="n">
        <v>195.051</v>
      </c>
      <c r="E125" s="9" t="n">
        <v>9.672</v>
      </c>
      <c r="F125" s="10" t="n">
        <v>2475399.8414983</v>
      </c>
      <c r="G125" s="10" t="n">
        <v>471777.617606118</v>
      </c>
      <c r="H125" s="10" t="n">
        <v>1619716.35000818</v>
      </c>
      <c r="I125" s="10" t="n">
        <v>549606.744651874</v>
      </c>
      <c r="J125" s="10" t="n">
        <v>2047558.09575324</v>
      </c>
      <c r="K125" s="11" t="n">
        <v>0.654325140874131</v>
      </c>
      <c r="L125" s="11" t="n">
        <v>-0.611920391025968</v>
      </c>
      <c r="M125" s="11" t="n">
        <v>0.675086882236369</v>
      </c>
      <c r="N125" s="11" t="n">
        <v>0.306816683532823</v>
      </c>
      <c r="O125" s="12" t="n">
        <v>0.0163650020809739</v>
      </c>
      <c r="P125" s="12" t="n">
        <v>0.478364863336053</v>
      </c>
      <c r="Q125" s="4" t="n">
        <f aca="false">RANK(N125,$N$7:$N$307,0)</f>
        <v>119</v>
      </c>
      <c r="R125" s="4" t="n">
        <f aca="false">RANK(O125,$O$7:$O$307,1)</f>
        <v>10</v>
      </c>
      <c r="S125" s="4" t="n">
        <f aca="false">RANK(J125,$J$7:$J$307,0)</f>
        <v>173</v>
      </c>
      <c r="T125" s="4" t="str">
        <f aca="false">IF(O125&lt;0.05,"YES","no")</f>
        <v>YES</v>
      </c>
      <c r="U125" s="4" t="str">
        <f aca="false">IF(P125&lt;0.05,"YES","no")</f>
        <v>no</v>
      </c>
      <c r="V125" s="4" t="str">
        <f aca="false">IF(N125&gt;1,"YES","no")</f>
        <v>no</v>
      </c>
    </row>
    <row r="126" customFormat="false" ht="15" hidden="false" customHeight="false" outlineLevel="0" collapsed="false">
      <c r="A126" s="4" t="s">
        <v>385</v>
      </c>
      <c r="B126" s="4"/>
      <c r="C126" s="4" t="s">
        <v>72</v>
      </c>
      <c r="D126" s="8" t="n">
        <v>205.11833</v>
      </c>
      <c r="E126" s="9" t="n">
        <v>7.411</v>
      </c>
      <c r="F126" s="10" t="n">
        <v>1114338.2681259</v>
      </c>
      <c r="G126" s="10" t="n">
        <v>858856.24860911</v>
      </c>
      <c r="H126" s="10" t="n">
        <v>2521355.15364162</v>
      </c>
      <c r="I126" s="10" t="n">
        <v>1753412.64255744</v>
      </c>
      <c r="J126" s="10" t="n">
        <v>1817846.71088376</v>
      </c>
      <c r="K126" s="11" t="n">
        <v>2.26264791020956</v>
      </c>
      <c r="L126" s="11" t="n">
        <v>1.17801210483717</v>
      </c>
      <c r="M126" s="11" t="n">
        <v>0.487409437549475</v>
      </c>
      <c r="N126" s="11" t="n">
        <v>0.293669374079926</v>
      </c>
      <c r="O126" s="12" t="n">
        <v>0.119301620599596</v>
      </c>
      <c r="P126" s="12" t="n">
        <v>0.569996631753627</v>
      </c>
      <c r="Q126" s="4" t="n">
        <f aca="false">RANK(N126,$N$7:$N$307,0)</f>
        <v>120</v>
      </c>
      <c r="R126" s="4" t="n">
        <f aca="false">RANK(O126,$O$7:$O$307,1)</f>
        <v>63</v>
      </c>
      <c r="S126" s="4" t="n">
        <f aca="false">RANK(J126,$J$7:$J$307,0)</f>
        <v>186</v>
      </c>
      <c r="T126" s="4" t="str">
        <f aca="false">IF(O126&lt;0.05,"YES","no")</f>
        <v>no</v>
      </c>
      <c r="U126" s="4" t="str">
        <f aca="false">IF(P126&lt;0.05,"YES","no")</f>
        <v>no</v>
      </c>
      <c r="V126" s="4" t="str">
        <f aca="false">IF(N126&gt;1,"YES","no")</f>
        <v>no</v>
      </c>
    </row>
    <row r="127" customFormat="false" ht="15" hidden="false" customHeight="false" outlineLevel="0" collapsed="false">
      <c r="A127" s="4" t="s">
        <v>338</v>
      </c>
      <c r="B127" s="4" t="s">
        <v>339</v>
      </c>
      <c r="C127" s="4" t="s">
        <v>72</v>
      </c>
      <c r="D127" s="8" t="n">
        <v>342.56692</v>
      </c>
      <c r="E127" s="9" t="n">
        <v>5.026</v>
      </c>
      <c r="F127" s="10" t="n">
        <v>2515823.47695196</v>
      </c>
      <c r="G127" s="10" t="n">
        <v>1116983.06558007</v>
      </c>
      <c r="H127" s="10" t="n">
        <v>3811748.35051323</v>
      </c>
      <c r="I127" s="10" t="n">
        <v>1277097.03686918</v>
      </c>
      <c r="J127" s="10" t="n">
        <v>3163785.9137326</v>
      </c>
      <c r="K127" s="11" t="n">
        <v>1.51510961934871</v>
      </c>
      <c r="L127" s="11" t="n">
        <v>0.599422177572542</v>
      </c>
      <c r="M127" s="11" t="n">
        <v>0.509199963240576</v>
      </c>
      <c r="N127" s="11" t="n">
        <v>0.291414494490362</v>
      </c>
      <c r="O127" s="12" t="n">
        <v>0.0913908682345097</v>
      </c>
      <c r="P127" s="12" t="n">
        <v>0.545525735104785</v>
      </c>
      <c r="Q127" s="4" t="n">
        <f aca="false">RANK(N127,$N$7:$N$307,0)</f>
        <v>121</v>
      </c>
      <c r="R127" s="4" t="n">
        <f aca="false">RANK(O127,$O$7:$O$307,1)</f>
        <v>48</v>
      </c>
      <c r="S127" s="4" t="n">
        <f aca="false">RANK(J127,$J$7:$J$307,0)</f>
        <v>150</v>
      </c>
      <c r="T127" s="4" t="str">
        <f aca="false">IF(O127&lt;0.05,"YES","no")</f>
        <v>no</v>
      </c>
      <c r="U127" s="4" t="str">
        <f aca="false">IF(P127&lt;0.05,"YES","no")</f>
        <v>no</v>
      </c>
      <c r="V127" s="4" t="str">
        <f aca="false">IF(N127&gt;1,"YES","no")</f>
        <v>no</v>
      </c>
    </row>
    <row r="128" customFormat="false" ht="15" hidden="false" customHeight="false" outlineLevel="0" collapsed="false">
      <c r="A128" s="4" t="s">
        <v>246</v>
      </c>
      <c r="B128" s="4"/>
      <c r="C128" s="4" t="s">
        <v>72</v>
      </c>
      <c r="D128" s="8" t="n">
        <v>130.08622</v>
      </c>
      <c r="E128" s="9" t="n">
        <v>9.945</v>
      </c>
      <c r="F128" s="10" t="n">
        <v>3699006.51634494</v>
      </c>
      <c r="G128" s="10" t="n">
        <v>800302.683244827</v>
      </c>
      <c r="H128" s="10" t="n">
        <v>2842144.98631866</v>
      </c>
      <c r="I128" s="10" t="n">
        <v>793295.849798885</v>
      </c>
      <c r="J128" s="10" t="n">
        <v>3270575.7513318</v>
      </c>
      <c r="K128" s="11" t="n">
        <v>0.768353603531101</v>
      </c>
      <c r="L128" s="11" t="n">
        <v>-0.380157689335892</v>
      </c>
      <c r="M128" s="11" t="n">
        <v>0.507512042255962</v>
      </c>
      <c r="N128" s="11" t="n">
        <v>0.287697817688136</v>
      </c>
      <c r="O128" s="12" t="n">
        <v>0.0921241922766955</v>
      </c>
      <c r="P128" s="12" t="n">
        <v>0.545525735104785</v>
      </c>
      <c r="Q128" s="4" t="n">
        <f aca="false">RANK(N128,$N$7:$N$307,0)</f>
        <v>122</v>
      </c>
      <c r="R128" s="4" t="n">
        <f aca="false">RANK(O128,$O$7:$O$307,1)</f>
        <v>50</v>
      </c>
      <c r="S128" s="4" t="n">
        <f aca="false">RANK(J128,$J$7:$J$307,0)</f>
        <v>148</v>
      </c>
      <c r="T128" s="4" t="str">
        <f aca="false">IF(O128&lt;0.05,"YES","no")</f>
        <v>no</v>
      </c>
      <c r="U128" s="4" t="str">
        <f aca="false">IF(P128&lt;0.05,"YES","no")</f>
        <v>no</v>
      </c>
      <c r="V128" s="4" t="str">
        <f aca="false">IF(N128&gt;1,"YES","no")</f>
        <v>no</v>
      </c>
    </row>
    <row r="129" customFormat="false" ht="15" hidden="false" customHeight="false" outlineLevel="0" collapsed="false">
      <c r="A129" s="4" t="s">
        <v>202</v>
      </c>
      <c r="B129" s="4"/>
      <c r="C129" s="4" t="s">
        <v>72</v>
      </c>
      <c r="D129" s="8" t="n">
        <v>204.12295</v>
      </c>
      <c r="E129" s="9" t="n">
        <v>10.705</v>
      </c>
      <c r="F129" s="10" t="n">
        <v>17786307.0297526</v>
      </c>
      <c r="G129" s="10" t="n">
        <v>6643930.45181839</v>
      </c>
      <c r="H129" s="10" t="n">
        <v>19937431.8206558</v>
      </c>
      <c r="I129" s="10" t="n">
        <v>9207388.9585418</v>
      </c>
      <c r="J129" s="10" t="n">
        <v>18861869.4252042</v>
      </c>
      <c r="K129" s="11" t="n">
        <v>1.12094274473643</v>
      </c>
      <c r="L129" s="11" t="n">
        <v>0.16471259036962</v>
      </c>
      <c r="M129" s="11" t="n">
        <v>0.145197073630721</v>
      </c>
      <c r="N129" s="11" t="n">
        <v>0.284765430378953</v>
      </c>
      <c r="O129" s="12" t="n">
        <v>0.653502519179743</v>
      </c>
      <c r="P129" s="12" t="n">
        <v>0.881168181006632</v>
      </c>
      <c r="Q129" s="4" t="n">
        <f aca="false">RANK(N129,$N$7:$N$307,0)</f>
        <v>123</v>
      </c>
      <c r="R129" s="4" t="n">
        <f aca="false">RANK(O129,$O$7:$O$307,1)</f>
        <v>219</v>
      </c>
      <c r="S129" s="4" t="n">
        <f aca="false">RANK(J129,$J$7:$J$307,0)</f>
        <v>77</v>
      </c>
      <c r="T129" s="4" t="str">
        <f aca="false">IF(O129&lt;0.05,"YES","no")</f>
        <v>no</v>
      </c>
      <c r="U129" s="4" t="str">
        <f aca="false">IF(P129&lt;0.05,"YES","no")</f>
        <v>no</v>
      </c>
      <c r="V129" s="4" t="str">
        <f aca="false">IF(N129&gt;1,"YES","no")</f>
        <v>no</v>
      </c>
    </row>
    <row r="130" customFormat="false" ht="15" hidden="false" customHeight="false" outlineLevel="0" collapsed="false">
      <c r="A130" s="4" t="s">
        <v>293</v>
      </c>
      <c r="B130" s="4"/>
      <c r="C130" s="4" t="s">
        <v>61</v>
      </c>
      <c r="D130" s="8" t="n">
        <v>189.05247</v>
      </c>
      <c r="E130" s="9" t="n">
        <v>6.858</v>
      </c>
      <c r="F130" s="10" t="n">
        <v>1274975.33479801</v>
      </c>
      <c r="G130" s="10" t="n">
        <v>444303.085901206</v>
      </c>
      <c r="H130" s="10" t="n">
        <v>2142112.06768611</v>
      </c>
      <c r="I130" s="10" t="n">
        <v>1433907.39408235</v>
      </c>
      <c r="J130" s="10" t="n">
        <v>1708543.70124206</v>
      </c>
      <c r="K130" s="11" t="n">
        <v>1.6801203985844</v>
      </c>
      <c r="L130" s="11" t="n">
        <v>0.748564621228332</v>
      </c>
      <c r="M130" s="11" t="n">
        <v>0.40842053248614</v>
      </c>
      <c r="N130" s="11" t="n">
        <v>0.283643885454733</v>
      </c>
      <c r="O130" s="12" t="n">
        <v>0.207219379160758</v>
      </c>
      <c r="P130" s="12" t="n">
        <v>0.605590657294096</v>
      </c>
      <c r="Q130" s="4" t="n">
        <f aca="false">RANK(N130,$N$7:$N$307,0)</f>
        <v>124</v>
      </c>
      <c r="R130" s="4" t="n">
        <f aca="false">RANK(O130,$O$7:$O$307,1)</f>
        <v>101</v>
      </c>
      <c r="S130" s="4" t="n">
        <f aca="false">RANK(J130,$J$7:$J$307,0)</f>
        <v>188</v>
      </c>
      <c r="T130" s="4" t="str">
        <f aca="false">IF(O130&lt;0.05,"YES","no")</f>
        <v>no</v>
      </c>
      <c r="U130" s="4" t="str">
        <f aca="false">IF(P130&lt;0.05,"YES","no")</f>
        <v>no</v>
      </c>
      <c r="V130" s="4" t="str">
        <f aca="false">IF(N130&gt;1,"YES","no")</f>
        <v>no</v>
      </c>
    </row>
    <row r="131" customFormat="false" ht="15" hidden="false" customHeight="false" outlineLevel="0" collapsed="false">
      <c r="A131" s="4" t="s">
        <v>139</v>
      </c>
      <c r="B131" s="4"/>
      <c r="C131" s="4" t="s">
        <v>61</v>
      </c>
      <c r="D131" s="8" t="n">
        <v>174.04077</v>
      </c>
      <c r="E131" s="9" t="n">
        <v>9.006</v>
      </c>
      <c r="F131" s="10" t="n">
        <v>13098226.930548</v>
      </c>
      <c r="G131" s="10" t="n">
        <v>3382694.07676983</v>
      </c>
      <c r="H131" s="10" t="n">
        <v>15030650.8755358</v>
      </c>
      <c r="I131" s="10" t="n">
        <v>4804342.67267987</v>
      </c>
      <c r="J131" s="10" t="n">
        <v>14064438.9030419</v>
      </c>
      <c r="K131" s="11" t="n">
        <v>1.14753324669318</v>
      </c>
      <c r="L131" s="11" t="n">
        <v>0.19853595245786</v>
      </c>
      <c r="M131" s="11" t="n">
        <v>0.246866084512658</v>
      </c>
      <c r="N131" s="11" t="n">
        <v>0.282057813149206</v>
      </c>
      <c r="O131" s="12" t="n">
        <v>0.441287975527396</v>
      </c>
      <c r="P131" s="12" t="n">
        <v>0.779874320834923</v>
      </c>
      <c r="Q131" s="4" t="n">
        <f aca="false">RANK(N131,$N$7:$N$307,0)</f>
        <v>125</v>
      </c>
      <c r="R131" s="4" t="n">
        <f aca="false">RANK(O131,$O$7:$O$307,1)</f>
        <v>169</v>
      </c>
      <c r="S131" s="4" t="n">
        <f aca="false">RANK(J131,$J$7:$J$307,0)</f>
        <v>88</v>
      </c>
      <c r="T131" s="4" t="str">
        <f aca="false">IF(O131&lt;0.05,"YES","no")</f>
        <v>no</v>
      </c>
      <c r="U131" s="4" t="str">
        <f aca="false">IF(P131&lt;0.05,"YES","no")</f>
        <v>no</v>
      </c>
      <c r="V131" s="4" t="str">
        <f aca="false">IF(N131&gt;1,"YES","no")</f>
        <v>no</v>
      </c>
    </row>
    <row r="132" customFormat="false" ht="15" hidden="false" customHeight="false" outlineLevel="0" collapsed="false">
      <c r="A132" s="4" t="s">
        <v>260</v>
      </c>
      <c r="B132" s="4"/>
      <c r="C132" s="4" t="s">
        <v>72</v>
      </c>
      <c r="D132" s="8" t="n">
        <v>126.06621</v>
      </c>
      <c r="E132" s="9" t="n">
        <v>8.612</v>
      </c>
      <c r="F132" s="10" t="n">
        <v>1236629.5249678</v>
      </c>
      <c r="G132" s="10" t="n">
        <v>518270.83891833</v>
      </c>
      <c r="H132" s="10" t="n">
        <v>2573795.22423453</v>
      </c>
      <c r="I132" s="10" t="n">
        <v>1907452.0442169</v>
      </c>
      <c r="J132" s="10" t="n">
        <v>1905212.37460117</v>
      </c>
      <c r="K132" s="11" t="n">
        <v>2.08129853951331</v>
      </c>
      <c r="L132" s="11" t="n">
        <v>1.05748391874176</v>
      </c>
      <c r="M132" s="11" t="n">
        <v>0.464146998696636</v>
      </c>
      <c r="N132" s="11" t="n">
        <v>0.281656201827436</v>
      </c>
      <c r="O132" s="12" t="n">
        <v>0.150871931487969</v>
      </c>
      <c r="P132" s="12" t="n">
        <v>0.59081559788972</v>
      </c>
      <c r="Q132" s="4" t="n">
        <f aca="false">RANK(N132,$N$7:$N$307,0)</f>
        <v>126</v>
      </c>
      <c r="R132" s="4" t="n">
        <f aca="false">RANK(O132,$O$7:$O$307,1)</f>
        <v>75</v>
      </c>
      <c r="S132" s="4" t="n">
        <f aca="false">RANK(J132,$J$7:$J$307,0)</f>
        <v>180</v>
      </c>
      <c r="T132" s="4" t="str">
        <f aca="false">IF(O132&lt;0.05,"YES","no")</f>
        <v>no</v>
      </c>
      <c r="U132" s="4" t="str">
        <f aca="false">IF(P132&lt;0.05,"YES","no")</f>
        <v>no</v>
      </c>
      <c r="V132" s="4" t="str">
        <f aca="false">IF(N132&gt;1,"YES","no")</f>
        <v>no</v>
      </c>
    </row>
    <row r="133" customFormat="false" ht="15" hidden="false" customHeight="false" outlineLevel="0" collapsed="false">
      <c r="A133" s="4" t="s">
        <v>348</v>
      </c>
      <c r="B133" s="4"/>
      <c r="C133" s="4" t="s">
        <v>61</v>
      </c>
      <c r="D133" s="8" t="n">
        <v>742.06864</v>
      </c>
      <c r="E133" s="9" t="n">
        <v>10.04</v>
      </c>
      <c r="F133" s="10" t="n">
        <v>3288434.07766098</v>
      </c>
      <c r="G133" s="10" t="n">
        <v>1632269.18621659</v>
      </c>
      <c r="H133" s="10" t="n">
        <v>4634847.88465443</v>
      </c>
      <c r="I133" s="10" t="n">
        <v>2032078.2613426</v>
      </c>
      <c r="J133" s="10" t="n">
        <v>3961640.98115771</v>
      </c>
      <c r="K133" s="11" t="n">
        <v>1.40943919664984</v>
      </c>
      <c r="L133" s="11" t="n">
        <v>0.495121241240109</v>
      </c>
      <c r="M133" s="11" t="n">
        <v>0.371495939992981</v>
      </c>
      <c r="N133" s="11" t="n">
        <v>0.280578304532513</v>
      </c>
      <c r="O133" s="12" t="n">
        <v>0.23573687950551</v>
      </c>
      <c r="P133" s="12" t="n">
        <v>0.646206555801688</v>
      </c>
      <c r="Q133" s="4" t="n">
        <f aca="false">RANK(N133,$N$7:$N$307,0)</f>
        <v>127</v>
      </c>
      <c r="R133" s="4" t="n">
        <f aca="false">RANK(O133,$O$7:$O$307,1)</f>
        <v>108</v>
      </c>
      <c r="S133" s="4" t="n">
        <f aca="false">RANK(J133,$J$7:$J$307,0)</f>
        <v>139</v>
      </c>
      <c r="T133" s="4" t="str">
        <f aca="false">IF(O133&lt;0.05,"YES","no")</f>
        <v>no</v>
      </c>
      <c r="U133" s="4" t="str">
        <f aca="false">IF(P133&lt;0.05,"YES","no")</f>
        <v>no</v>
      </c>
      <c r="V133" s="4" t="str">
        <f aca="false">IF(N133&gt;1,"YES","no")</f>
        <v>no</v>
      </c>
    </row>
    <row r="134" customFormat="false" ht="15" hidden="false" customHeight="false" outlineLevel="0" collapsed="false">
      <c r="A134" s="4" t="s">
        <v>409</v>
      </c>
      <c r="B134" s="4"/>
      <c r="C134" s="4" t="s">
        <v>72</v>
      </c>
      <c r="D134" s="8" t="n">
        <v>352.16568</v>
      </c>
      <c r="E134" s="9" t="n">
        <v>4.718</v>
      </c>
      <c r="F134" s="10" t="n">
        <v>443616.904274431</v>
      </c>
      <c r="G134" s="10" t="n">
        <v>217528.037868065</v>
      </c>
      <c r="H134" s="10" t="n">
        <v>1275145.84018158</v>
      </c>
      <c r="I134" s="10" t="n">
        <v>569912.048387051</v>
      </c>
      <c r="J134" s="10" t="n">
        <v>859381.372228008</v>
      </c>
      <c r="K134" s="11" t="n">
        <v>2.87443022999131</v>
      </c>
      <c r="L134" s="11" t="n">
        <v>1.52327601315979</v>
      </c>
      <c r="M134" s="11" t="n">
        <v>0.72605660107764</v>
      </c>
      <c r="N134" s="11" t="n">
        <v>0.277268333357823</v>
      </c>
      <c r="O134" s="12" t="n">
        <v>0.0141101274945988</v>
      </c>
      <c r="P134" s="12" t="n">
        <v>0.478364863336053</v>
      </c>
      <c r="Q134" s="4" t="n">
        <f aca="false">RANK(N134,$N$7:$N$307,0)</f>
        <v>128</v>
      </c>
      <c r="R134" s="4" t="n">
        <f aca="false">RANK(O134,$O$7:$O$307,1)</f>
        <v>8</v>
      </c>
      <c r="S134" s="4" t="n">
        <f aca="false">RANK(J134,$J$7:$J$307,0)</f>
        <v>221</v>
      </c>
      <c r="T134" s="4" t="str">
        <f aca="false">IF(O134&lt;0.05,"YES","no")</f>
        <v>YES</v>
      </c>
      <c r="U134" s="4" t="str">
        <f aca="false">IF(P134&lt;0.05,"YES","no")</f>
        <v>no</v>
      </c>
      <c r="V134" s="4" t="str">
        <f aca="false">IF(N134&gt;1,"YES","no")</f>
        <v>no</v>
      </c>
    </row>
    <row r="135" customFormat="false" ht="15" hidden="false" customHeight="false" outlineLevel="0" collapsed="false">
      <c r="A135" s="4" t="s">
        <v>314</v>
      </c>
      <c r="B135" s="4"/>
      <c r="C135" s="4" t="s">
        <v>72</v>
      </c>
      <c r="D135" s="8" t="n">
        <v>190.04747</v>
      </c>
      <c r="E135" s="9" t="n">
        <v>9.551</v>
      </c>
      <c r="F135" s="10" t="n">
        <v>990875.110799672</v>
      </c>
      <c r="G135" s="10" t="n">
        <v>913280.121398845</v>
      </c>
      <c r="H135" s="10" t="n">
        <v>2206937.55141878</v>
      </c>
      <c r="I135" s="10" t="n">
        <v>1411911.07705687</v>
      </c>
      <c r="J135" s="10" t="n">
        <v>1598906.33110922</v>
      </c>
      <c r="K135" s="11" t="n">
        <v>2.22726106182816</v>
      </c>
      <c r="L135" s="11" t="n">
        <v>1.1552706692757</v>
      </c>
      <c r="M135" s="11" t="n">
        <v>0.488720302136253</v>
      </c>
      <c r="N135" s="11" t="n">
        <v>0.274814490378512</v>
      </c>
      <c r="O135" s="12" t="n">
        <v>0.111974554057092</v>
      </c>
      <c r="P135" s="12" t="n">
        <v>0.569996631753627</v>
      </c>
      <c r="Q135" s="4" t="n">
        <f aca="false">RANK(N135,$N$7:$N$307,0)</f>
        <v>129</v>
      </c>
      <c r="R135" s="4" t="n">
        <f aca="false">RANK(O135,$O$7:$O$307,1)</f>
        <v>58</v>
      </c>
      <c r="S135" s="4" t="n">
        <f aca="false">RANK(J135,$J$7:$J$307,0)</f>
        <v>192</v>
      </c>
      <c r="T135" s="4" t="str">
        <f aca="false">IF(O135&lt;0.05,"YES","no")</f>
        <v>no</v>
      </c>
      <c r="U135" s="4" t="str">
        <f aca="false">IF(P135&lt;0.05,"YES","no")</f>
        <v>no</v>
      </c>
      <c r="V135" s="4" t="str">
        <f aca="false">IF(N135&gt;1,"YES","no")</f>
        <v>no</v>
      </c>
    </row>
    <row r="136" customFormat="false" ht="15" hidden="false" customHeight="false" outlineLevel="0" collapsed="false">
      <c r="A136" s="4" t="s">
        <v>347</v>
      </c>
      <c r="B136" s="4"/>
      <c r="C136" s="4" t="s">
        <v>72</v>
      </c>
      <c r="D136" s="8" t="n">
        <v>313.23841</v>
      </c>
      <c r="E136" s="9" t="n">
        <v>3.948</v>
      </c>
      <c r="F136" s="10" t="n">
        <v>752837.926708836</v>
      </c>
      <c r="G136" s="10" t="n">
        <v>249366.834631604</v>
      </c>
      <c r="H136" s="10" t="n">
        <v>1498553.92535754</v>
      </c>
      <c r="I136" s="10" t="n">
        <v>517476.338558424</v>
      </c>
      <c r="J136" s="10" t="n">
        <v>1125695.92603319</v>
      </c>
      <c r="K136" s="11" t="n">
        <v>1.99053989204387</v>
      </c>
      <c r="L136" s="11" t="n">
        <v>0.993159784504953</v>
      </c>
      <c r="M136" s="11" t="n">
        <v>0.709069865538176</v>
      </c>
      <c r="N136" s="11" t="n">
        <v>0.272657939402647</v>
      </c>
      <c r="O136" s="12" t="n">
        <v>0.0149141369297276</v>
      </c>
      <c r="P136" s="12" t="n">
        <v>0.478364863336053</v>
      </c>
      <c r="Q136" s="4" t="n">
        <f aca="false">RANK(N136,$N$7:$N$307,0)</f>
        <v>130</v>
      </c>
      <c r="R136" s="4" t="n">
        <f aca="false">RANK(O136,$O$7:$O$307,1)</f>
        <v>9</v>
      </c>
      <c r="S136" s="4" t="n">
        <f aca="false">RANK(J136,$J$7:$J$307,0)</f>
        <v>208</v>
      </c>
      <c r="T136" s="4" t="str">
        <f aca="false">IF(O136&lt;0.05,"YES","no")</f>
        <v>YES</v>
      </c>
      <c r="U136" s="4" t="str">
        <f aca="false">IF(P136&lt;0.05,"YES","no")</f>
        <v>no</v>
      </c>
      <c r="V136" s="4" t="str">
        <f aca="false">IF(N136&gt;1,"YES","no")</f>
        <v>no</v>
      </c>
    </row>
    <row r="137" customFormat="false" ht="15" hidden="false" customHeight="false" outlineLevel="0" collapsed="false">
      <c r="A137" s="4" t="s">
        <v>290</v>
      </c>
      <c r="B137" s="4"/>
      <c r="C137" s="4" t="s">
        <v>72</v>
      </c>
      <c r="D137" s="8" t="n">
        <v>382.55025</v>
      </c>
      <c r="E137" s="9" t="n">
        <v>8.732</v>
      </c>
      <c r="F137" s="10" t="n">
        <v>15884571.9644341</v>
      </c>
      <c r="G137" s="10" t="n">
        <v>8237190.82107639</v>
      </c>
      <c r="H137" s="10" t="n">
        <v>13304556.3044077</v>
      </c>
      <c r="I137" s="10" t="n">
        <v>6582587.68824101</v>
      </c>
      <c r="J137" s="10" t="n">
        <v>14594564.1344209</v>
      </c>
      <c r="K137" s="11" t="n">
        <v>0.837577262654408</v>
      </c>
      <c r="L137" s="11" t="n">
        <v>-0.255705816301747</v>
      </c>
      <c r="M137" s="11" t="n">
        <v>0.186216263905098</v>
      </c>
      <c r="N137" s="11" t="n">
        <v>0.271981664641371</v>
      </c>
      <c r="O137" s="12" t="n">
        <v>0.562906310078005</v>
      </c>
      <c r="P137" s="12" t="n">
        <v>0.832892828813901</v>
      </c>
      <c r="Q137" s="4" t="n">
        <f aca="false">RANK(N137,$N$7:$N$307,0)</f>
        <v>131</v>
      </c>
      <c r="R137" s="4" t="n">
        <f aca="false">RANK(O137,$O$7:$O$307,1)</f>
        <v>203</v>
      </c>
      <c r="S137" s="4" t="n">
        <f aca="false">RANK(J137,$J$7:$J$307,0)</f>
        <v>85</v>
      </c>
      <c r="T137" s="4" t="str">
        <f aca="false">IF(O137&lt;0.05,"YES","no")</f>
        <v>no</v>
      </c>
      <c r="U137" s="4" t="str">
        <f aca="false">IF(P137&lt;0.05,"YES","no")</f>
        <v>no</v>
      </c>
      <c r="V137" s="4" t="str">
        <f aca="false">IF(N137&gt;1,"YES","no")</f>
        <v>no</v>
      </c>
    </row>
    <row r="138" customFormat="false" ht="15" hidden="false" customHeight="false" outlineLevel="0" collapsed="false">
      <c r="A138" s="4" t="s">
        <v>266</v>
      </c>
      <c r="B138" s="4" t="s">
        <v>267</v>
      </c>
      <c r="C138" s="4" t="s">
        <v>61</v>
      </c>
      <c r="D138" s="8" t="n">
        <v>604.06976</v>
      </c>
      <c r="E138" s="9" t="n">
        <v>10.47</v>
      </c>
      <c r="F138" s="10" t="n">
        <v>3847446.85662933</v>
      </c>
      <c r="G138" s="10" t="n">
        <v>1109859.60926769</v>
      </c>
      <c r="H138" s="10" t="n">
        <v>3464853.34920654</v>
      </c>
      <c r="I138" s="10" t="n">
        <v>1005298.4623088</v>
      </c>
      <c r="J138" s="10" t="n">
        <v>3656150.10291793</v>
      </c>
      <c r="K138" s="11" t="n">
        <v>0.900559118376498</v>
      </c>
      <c r="L138" s="11" t="n">
        <v>-0.151107108051693</v>
      </c>
      <c r="M138" s="11" t="n">
        <v>0.194139046437973</v>
      </c>
      <c r="N138" s="11" t="n">
        <v>0.267661542205045</v>
      </c>
      <c r="O138" s="12" t="n">
        <v>0.545578864463904</v>
      </c>
      <c r="P138" s="12" t="n">
        <v>0.831188343917028</v>
      </c>
      <c r="Q138" s="4" t="n">
        <f aca="false">RANK(N138,$N$7:$N$307,0)</f>
        <v>132</v>
      </c>
      <c r="R138" s="4" t="n">
        <f aca="false">RANK(O138,$O$7:$O$307,1)</f>
        <v>197</v>
      </c>
      <c r="S138" s="4" t="n">
        <f aca="false">RANK(J138,$J$7:$J$307,0)</f>
        <v>144</v>
      </c>
      <c r="T138" s="4" t="str">
        <f aca="false">IF(O138&lt;0.05,"YES","no")</f>
        <v>no</v>
      </c>
      <c r="U138" s="4" t="str">
        <f aca="false">IF(P138&lt;0.05,"YES","no")</f>
        <v>no</v>
      </c>
      <c r="V138" s="4" t="str">
        <f aca="false">IF(N138&gt;1,"YES","no")</f>
        <v>no</v>
      </c>
    </row>
    <row r="139" customFormat="false" ht="15" hidden="false" customHeight="false" outlineLevel="0" collapsed="false">
      <c r="A139" s="4" t="s">
        <v>206</v>
      </c>
      <c r="B139" s="4"/>
      <c r="C139" s="4" t="s">
        <v>72</v>
      </c>
      <c r="D139" s="8" t="n">
        <v>298.09699</v>
      </c>
      <c r="E139" s="9" t="n">
        <v>6.861</v>
      </c>
      <c r="F139" s="10" t="n">
        <v>8622578.68267076</v>
      </c>
      <c r="G139" s="10" t="n">
        <v>3428238.99919444</v>
      </c>
      <c r="H139" s="10" t="n">
        <v>9026912.83535831</v>
      </c>
      <c r="I139" s="10" t="n">
        <v>2867243.81718602</v>
      </c>
      <c r="J139" s="10" t="n">
        <v>8824745.75901453</v>
      </c>
      <c r="K139" s="11" t="n">
        <v>1.04689248629301</v>
      </c>
      <c r="L139" s="11" t="n">
        <v>0.0661132880601825</v>
      </c>
      <c r="M139" s="11" t="n">
        <v>0.0699070075468149</v>
      </c>
      <c r="N139" s="11" t="n">
        <v>0.261055530775143</v>
      </c>
      <c r="O139" s="12" t="n">
        <v>0.829216422856072</v>
      </c>
      <c r="P139" s="12" t="n">
        <v>0.923481941786446</v>
      </c>
      <c r="Q139" s="4" t="n">
        <f aca="false">RANK(N139,$N$7:$N$307,0)</f>
        <v>133</v>
      </c>
      <c r="R139" s="4" t="n">
        <f aca="false">RANK(O139,$O$7:$O$307,1)</f>
        <v>267</v>
      </c>
      <c r="S139" s="4" t="n">
        <f aca="false">RANK(J139,$J$7:$J$307,0)</f>
        <v>104</v>
      </c>
      <c r="T139" s="4" t="str">
        <f aca="false">IF(O139&lt;0.05,"YES","no")</f>
        <v>no</v>
      </c>
      <c r="U139" s="4" t="str">
        <f aca="false">IF(P139&lt;0.05,"YES","no")</f>
        <v>no</v>
      </c>
      <c r="V139" s="4" t="str">
        <f aca="false">IF(N139&gt;1,"YES","no")</f>
        <v>no</v>
      </c>
    </row>
    <row r="140" customFormat="false" ht="15" hidden="false" customHeight="false" outlineLevel="0" collapsed="false">
      <c r="A140" s="4" t="s">
        <v>369</v>
      </c>
      <c r="B140" s="4"/>
      <c r="C140" s="4" t="s">
        <v>72</v>
      </c>
      <c r="D140" s="8" t="n">
        <v>232.14043</v>
      </c>
      <c r="E140" s="9" t="n">
        <v>12.361</v>
      </c>
      <c r="F140" s="10" t="n">
        <v>2033971.62528736</v>
      </c>
      <c r="G140" s="10" t="n">
        <v>1165847.78811824</v>
      </c>
      <c r="H140" s="10" t="n">
        <v>3409006.09265214</v>
      </c>
      <c r="I140" s="10" t="n">
        <v>2302269.21551295</v>
      </c>
      <c r="J140" s="10" t="n">
        <v>2721488.85896975</v>
      </c>
      <c r="K140" s="11" t="n">
        <v>1.67603424269526</v>
      </c>
      <c r="L140" s="11" t="n">
        <v>0.745051624730565</v>
      </c>
      <c r="M140" s="11" t="n">
        <v>0.381510836559709</v>
      </c>
      <c r="N140" s="11" t="n">
        <v>0.260813085978393</v>
      </c>
      <c r="O140" s="12" t="n">
        <v>0.230923963695722</v>
      </c>
      <c r="P140" s="12" t="n">
        <v>0.646206555801688</v>
      </c>
      <c r="Q140" s="4" t="n">
        <f aca="false">RANK(N140,$N$7:$N$307,0)</f>
        <v>134</v>
      </c>
      <c r="R140" s="4" t="n">
        <f aca="false">RANK(O140,$O$7:$O$307,1)</f>
        <v>106</v>
      </c>
      <c r="S140" s="4" t="n">
        <f aca="false">RANK(J140,$J$7:$J$307,0)</f>
        <v>160</v>
      </c>
      <c r="T140" s="4" t="str">
        <f aca="false">IF(O140&lt;0.05,"YES","no")</f>
        <v>no</v>
      </c>
      <c r="U140" s="4" t="str">
        <f aca="false">IF(P140&lt;0.05,"YES","no")</f>
        <v>no</v>
      </c>
      <c r="V140" s="4" t="str">
        <f aca="false">IF(N140&gt;1,"YES","no")</f>
        <v>no</v>
      </c>
    </row>
    <row r="141" customFormat="false" ht="15" hidden="false" customHeight="false" outlineLevel="0" collapsed="false">
      <c r="A141" s="4" t="s">
        <v>341</v>
      </c>
      <c r="B141" s="4"/>
      <c r="C141" s="4" t="s">
        <v>72</v>
      </c>
      <c r="D141" s="8" t="n">
        <v>223.1076</v>
      </c>
      <c r="E141" s="9" t="n">
        <v>6.888</v>
      </c>
      <c r="F141" s="10" t="n">
        <v>1510034.7070029</v>
      </c>
      <c r="G141" s="10" t="n">
        <v>719025.780745504</v>
      </c>
      <c r="H141" s="10" t="n">
        <v>2517972.49098708</v>
      </c>
      <c r="I141" s="10" t="n">
        <v>1051737.92046984</v>
      </c>
      <c r="J141" s="10" t="n">
        <v>2014003.59899499</v>
      </c>
      <c r="K141" s="11" t="n">
        <v>1.66749312403866</v>
      </c>
      <c r="L141" s="11" t="n">
        <v>0.737680812422886</v>
      </c>
      <c r="M141" s="11" t="n">
        <v>0.522507845076048</v>
      </c>
      <c r="N141" s="11" t="n">
        <v>0.260557752171389</v>
      </c>
      <c r="O141" s="12" t="n">
        <v>0.0851948729848343</v>
      </c>
      <c r="P141" s="12" t="n">
        <v>0.545525735104785</v>
      </c>
      <c r="Q141" s="4" t="n">
        <f aca="false">RANK(N141,$N$7:$N$307,0)</f>
        <v>135</v>
      </c>
      <c r="R141" s="4" t="n">
        <f aca="false">RANK(O141,$O$7:$O$307,1)</f>
        <v>45</v>
      </c>
      <c r="S141" s="4" t="n">
        <f aca="false">RANK(J141,$J$7:$J$307,0)</f>
        <v>174</v>
      </c>
      <c r="T141" s="4" t="str">
        <f aca="false">IF(O141&lt;0.05,"YES","no")</f>
        <v>no</v>
      </c>
      <c r="U141" s="4" t="str">
        <f aca="false">IF(P141&lt;0.05,"YES","no")</f>
        <v>no</v>
      </c>
      <c r="V141" s="4" t="str">
        <f aca="false">IF(N141&gt;1,"YES","no")</f>
        <v>no</v>
      </c>
    </row>
    <row r="142" customFormat="false" ht="15" hidden="false" customHeight="false" outlineLevel="0" collapsed="false">
      <c r="A142" s="4" t="s">
        <v>132</v>
      </c>
      <c r="B142" s="4"/>
      <c r="C142" s="4" t="s">
        <v>72</v>
      </c>
      <c r="D142" s="8" t="n">
        <v>119.08541</v>
      </c>
      <c r="E142" s="9" t="n">
        <v>4.064</v>
      </c>
      <c r="F142" s="10" t="n">
        <v>61100732.7478522</v>
      </c>
      <c r="G142" s="10" t="n">
        <v>11036456.7183305</v>
      </c>
      <c r="H142" s="10" t="n">
        <v>61981002.2972547</v>
      </c>
      <c r="I142" s="10" t="n">
        <v>21679423.0224678</v>
      </c>
      <c r="J142" s="10" t="n">
        <v>61540867.5225534</v>
      </c>
      <c r="K142" s="11" t="n">
        <v>1.01440685749278</v>
      </c>
      <c r="L142" s="11" t="n">
        <v>0.0206364033870626</v>
      </c>
      <c r="M142" s="11" t="n">
        <v>0.0280177347137893</v>
      </c>
      <c r="N142" s="11" t="n">
        <v>0.257652784550244</v>
      </c>
      <c r="O142" s="12" t="n">
        <v>0.931714835457447</v>
      </c>
      <c r="P142" s="12" t="n">
        <v>0.962233575633982</v>
      </c>
      <c r="Q142" s="4" t="n">
        <f aca="false">RANK(N142,$N$7:$N$307,0)</f>
        <v>136</v>
      </c>
      <c r="R142" s="4" t="n">
        <f aca="false">RANK(O142,$O$7:$O$307,1)</f>
        <v>291</v>
      </c>
      <c r="S142" s="4" t="n">
        <f aca="false">RANK(J142,$J$7:$J$307,0)</f>
        <v>38</v>
      </c>
      <c r="T142" s="4" t="str">
        <f aca="false">IF(O142&lt;0.05,"YES","no")</f>
        <v>no</v>
      </c>
      <c r="U142" s="4" t="str">
        <f aca="false">IF(P142&lt;0.05,"YES","no")</f>
        <v>no</v>
      </c>
      <c r="V142" s="4" t="str">
        <f aca="false">IF(N142&gt;1,"YES","no")</f>
        <v>no</v>
      </c>
    </row>
    <row r="143" customFormat="false" ht="15" hidden="false" customHeight="false" outlineLevel="0" collapsed="false">
      <c r="A143" s="4" t="s">
        <v>280</v>
      </c>
      <c r="B143" s="4"/>
      <c r="C143" s="4" t="s">
        <v>72</v>
      </c>
      <c r="D143" s="8" t="n">
        <v>341.10865</v>
      </c>
      <c r="E143" s="9" t="n">
        <v>11.556</v>
      </c>
      <c r="F143" s="10" t="n">
        <v>717439.253674168</v>
      </c>
      <c r="G143" s="10" t="n">
        <v>651598.534121184</v>
      </c>
      <c r="H143" s="10" t="n">
        <v>1460526.59203852</v>
      </c>
      <c r="I143" s="10" t="n">
        <v>539210.86653489</v>
      </c>
      <c r="J143" s="10" t="n">
        <v>1088982.92285634</v>
      </c>
      <c r="K143" s="11" t="n">
        <v>2.03574948618832</v>
      </c>
      <c r="L143" s="11" t="n">
        <v>1.02556003819639</v>
      </c>
      <c r="M143" s="11" t="n">
        <v>0.56262314407979</v>
      </c>
      <c r="N143" s="11" t="n">
        <v>0.257010991806727</v>
      </c>
      <c r="O143" s="12" t="n">
        <v>0.0577959963441831</v>
      </c>
      <c r="P143" s="12" t="n">
        <v>0.524192657755824</v>
      </c>
      <c r="Q143" s="4" t="n">
        <f aca="false">RANK(N143,$N$7:$N$307,0)</f>
        <v>137</v>
      </c>
      <c r="R143" s="4" t="n">
        <f aca="false">RANK(O143,$O$7:$O$307,1)</f>
        <v>33</v>
      </c>
      <c r="S143" s="4" t="n">
        <f aca="false">RANK(J143,$J$7:$J$307,0)</f>
        <v>212</v>
      </c>
      <c r="T143" s="4" t="str">
        <f aca="false">IF(O143&lt;0.05,"YES","no")</f>
        <v>no</v>
      </c>
      <c r="U143" s="4" t="str">
        <f aca="false">IF(P143&lt;0.05,"YES","no")</f>
        <v>no</v>
      </c>
      <c r="V143" s="4" t="str">
        <f aca="false">IF(N143&gt;1,"YES","no")</f>
        <v>no</v>
      </c>
    </row>
    <row r="144" customFormat="false" ht="15" hidden="false" customHeight="false" outlineLevel="0" collapsed="false">
      <c r="A144" s="4" t="s">
        <v>264</v>
      </c>
      <c r="B144" s="4"/>
      <c r="C144" s="4" t="s">
        <v>61</v>
      </c>
      <c r="D144" s="8" t="n">
        <v>166.97516</v>
      </c>
      <c r="E144" s="9" t="n">
        <v>10.547</v>
      </c>
      <c r="F144" s="10" t="n">
        <v>2789428.22762617</v>
      </c>
      <c r="G144" s="10" t="n">
        <v>1147461.77727256</v>
      </c>
      <c r="H144" s="10" t="n">
        <v>2473817.83431004</v>
      </c>
      <c r="I144" s="10" t="n">
        <v>1148149.94456733</v>
      </c>
      <c r="J144" s="10" t="n">
        <v>2631623.0309681</v>
      </c>
      <c r="K144" s="11" t="n">
        <v>0.886854807666188</v>
      </c>
      <c r="L144" s="11" t="n">
        <v>-0.173230163309935</v>
      </c>
      <c r="M144" s="11" t="n">
        <v>0.148926882438055</v>
      </c>
      <c r="N144" s="11" t="n">
        <v>0.256609092280388</v>
      </c>
      <c r="O144" s="12" t="n">
        <v>0.644124420021981</v>
      </c>
      <c r="P144" s="12" t="n">
        <v>0.881168181006632</v>
      </c>
      <c r="Q144" s="4" t="n">
        <f aca="false">RANK(N144,$N$7:$N$307,0)</f>
        <v>138</v>
      </c>
      <c r="R144" s="4" t="n">
        <f aca="false">RANK(O144,$O$7:$O$307,1)</f>
        <v>216</v>
      </c>
      <c r="S144" s="4" t="n">
        <f aca="false">RANK(J144,$J$7:$J$307,0)</f>
        <v>163</v>
      </c>
      <c r="T144" s="4" t="str">
        <f aca="false">IF(O144&lt;0.05,"YES","no")</f>
        <v>no</v>
      </c>
      <c r="U144" s="4" t="str">
        <f aca="false">IF(P144&lt;0.05,"YES","no")</f>
        <v>no</v>
      </c>
      <c r="V144" s="4" t="str">
        <f aca="false">IF(N144&gt;1,"YES","no")</f>
        <v>no</v>
      </c>
    </row>
    <row r="145" customFormat="false" ht="15" hidden="false" customHeight="false" outlineLevel="0" collapsed="false">
      <c r="A145" s="4" t="s">
        <v>170</v>
      </c>
      <c r="B145" s="4" t="s">
        <v>171</v>
      </c>
      <c r="C145" s="4" t="s">
        <v>61</v>
      </c>
      <c r="D145" s="8" t="n">
        <v>198.09724</v>
      </c>
      <c r="E145" s="9" t="n">
        <v>10.928</v>
      </c>
      <c r="F145" s="10" t="n">
        <v>986973.587640651</v>
      </c>
      <c r="G145" s="10" t="n">
        <v>412059.402504142</v>
      </c>
      <c r="H145" s="10" t="n">
        <v>345184.023387423</v>
      </c>
      <c r="I145" s="10" t="n">
        <v>200347.479838111</v>
      </c>
      <c r="J145" s="10" t="n">
        <v>666078.805514037</v>
      </c>
      <c r="K145" s="11" t="n">
        <v>0.349739879273346</v>
      </c>
      <c r="L145" s="11" t="n">
        <v>-1.51564578541274</v>
      </c>
      <c r="M145" s="11" t="n">
        <v>0.7353222233823</v>
      </c>
      <c r="N145" s="11" t="n">
        <v>0.25332967360161</v>
      </c>
      <c r="O145" s="12" t="n">
        <v>0.0104157645367372</v>
      </c>
      <c r="P145" s="12" t="n">
        <v>0.4478778750797</v>
      </c>
      <c r="Q145" s="4" t="n">
        <f aca="false">RANK(N145,$N$7:$N$307,0)</f>
        <v>139</v>
      </c>
      <c r="R145" s="4" t="n">
        <f aca="false">RANK(O145,$O$7:$O$307,1)</f>
        <v>7</v>
      </c>
      <c r="S145" s="4" t="n">
        <f aca="false">RANK(J145,$J$7:$J$307,0)</f>
        <v>233</v>
      </c>
      <c r="T145" s="4" t="str">
        <f aca="false">IF(O145&lt;0.05,"YES","no")</f>
        <v>YES</v>
      </c>
      <c r="U145" s="4" t="str">
        <f aca="false">IF(P145&lt;0.05,"YES","no")</f>
        <v>no</v>
      </c>
      <c r="V145" s="4" t="str">
        <f aca="false">IF(N145&gt;1,"YES","no")</f>
        <v>no</v>
      </c>
    </row>
    <row r="146" customFormat="false" ht="15" hidden="false" customHeight="false" outlineLevel="0" collapsed="false">
      <c r="A146" s="4" t="s">
        <v>203</v>
      </c>
      <c r="B146" s="4"/>
      <c r="C146" s="4" t="s">
        <v>61</v>
      </c>
      <c r="D146" s="8" t="n">
        <v>132.06544</v>
      </c>
      <c r="E146" s="9" t="n">
        <v>11.124</v>
      </c>
      <c r="F146" s="10" t="n">
        <v>8348288.74968306</v>
      </c>
      <c r="G146" s="10" t="n">
        <v>3513745.78993212</v>
      </c>
      <c r="H146" s="10" t="n">
        <v>6994431.93572489</v>
      </c>
      <c r="I146" s="10" t="n">
        <v>1689578.92385989</v>
      </c>
      <c r="J146" s="10" t="n">
        <v>7671360.34270398</v>
      </c>
      <c r="K146" s="11" t="n">
        <v>0.837828223896835</v>
      </c>
      <c r="L146" s="11" t="n">
        <v>-0.255273609835291</v>
      </c>
      <c r="M146" s="11" t="n">
        <v>0.259742683421796</v>
      </c>
      <c r="N146" s="11" t="n">
        <v>0.25087782326436</v>
      </c>
      <c r="O146" s="12" t="n">
        <v>0.422408223737358</v>
      </c>
      <c r="P146" s="12" t="n">
        <v>0.770575002090575</v>
      </c>
      <c r="Q146" s="4" t="n">
        <f aca="false">RANK(N146,$N$7:$N$307,0)</f>
        <v>140</v>
      </c>
      <c r="R146" s="4" t="n">
        <f aca="false">RANK(O146,$O$7:$O$307,1)</f>
        <v>165</v>
      </c>
      <c r="S146" s="4" t="n">
        <f aca="false">RANK(J146,$J$7:$J$307,0)</f>
        <v>109</v>
      </c>
      <c r="T146" s="4" t="str">
        <f aca="false">IF(O146&lt;0.05,"YES","no")</f>
        <v>no</v>
      </c>
      <c r="U146" s="4" t="str">
        <f aca="false">IF(P146&lt;0.05,"YES","no")</f>
        <v>no</v>
      </c>
      <c r="V146" s="4" t="str">
        <f aca="false">IF(N146&gt;1,"YES","no")</f>
        <v>no</v>
      </c>
    </row>
    <row r="147" customFormat="false" ht="15" hidden="false" customHeight="false" outlineLevel="0" collapsed="false">
      <c r="A147" s="4" t="s">
        <v>176</v>
      </c>
      <c r="B147" s="4"/>
      <c r="C147" s="4" t="s">
        <v>72</v>
      </c>
      <c r="D147" s="8" t="n">
        <v>126.10251</v>
      </c>
      <c r="E147" s="9" t="n">
        <v>12.961</v>
      </c>
      <c r="F147" s="10" t="n">
        <v>8988921.83875485</v>
      </c>
      <c r="G147" s="10" t="n">
        <v>2608460.84607086</v>
      </c>
      <c r="H147" s="10" t="n">
        <v>9707966.23570912</v>
      </c>
      <c r="I147" s="10" t="n">
        <v>1718363.09302822</v>
      </c>
      <c r="J147" s="10" t="n">
        <v>9348444.03723198</v>
      </c>
      <c r="K147" s="11" t="n">
        <v>1.07999228493168</v>
      </c>
      <c r="L147" s="11" t="n">
        <v>0.111021006341927</v>
      </c>
      <c r="M147" s="11" t="n">
        <v>0.175541627031713</v>
      </c>
      <c r="N147" s="11" t="n">
        <v>0.248782517945015</v>
      </c>
      <c r="O147" s="12" t="n">
        <v>0.587159974884391</v>
      </c>
      <c r="P147" s="12" t="n">
        <v>0.852620474645866</v>
      </c>
      <c r="Q147" s="4" t="n">
        <f aca="false">RANK(N147,$N$7:$N$307,0)</f>
        <v>141</v>
      </c>
      <c r="R147" s="4" t="n">
        <f aca="false">RANK(O147,$O$7:$O$307,1)</f>
        <v>207</v>
      </c>
      <c r="S147" s="4" t="n">
        <f aca="false">RANK(J147,$J$7:$J$307,0)</f>
        <v>103</v>
      </c>
      <c r="T147" s="4" t="str">
        <f aca="false">IF(O147&lt;0.05,"YES","no")</f>
        <v>no</v>
      </c>
      <c r="U147" s="4" t="str">
        <f aca="false">IF(P147&lt;0.05,"YES","no")</f>
        <v>no</v>
      </c>
      <c r="V147" s="4" t="str">
        <f aca="false">IF(N147&gt;1,"YES","no")</f>
        <v>no</v>
      </c>
    </row>
    <row r="148" customFormat="false" ht="15" hidden="false" customHeight="false" outlineLevel="0" collapsed="false">
      <c r="A148" s="4" t="s">
        <v>388</v>
      </c>
      <c r="B148" s="4"/>
      <c r="C148" s="4" t="s">
        <v>72</v>
      </c>
      <c r="D148" s="8" t="n">
        <v>203.13893</v>
      </c>
      <c r="E148" s="9" t="n">
        <v>6.828</v>
      </c>
      <c r="F148" s="10" t="n">
        <v>2359053.36890351</v>
      </c>
      <c r="G148" s="10" t="n">
        <v>1405880.95713909</v>
      </c>
      <c r="H148" s="10" t="n">
        <v>3628641.15378348</v>
      </c>
      <c r="I148" s="10" t="n">
        <v>1992593.9235231</v>
      </c>
      <c r="J148" s="10" t="n">
        <v>2993847.26134349</v>
      </c>
      <c r="K148" s="11" t="n">
        <v>1.53817679651312</v>
      </c>
      <c r="L148" s="11" t="n">
        <v>0.621221334765147</v>
      </c>
      <c r="M148" s="11" t="n">
        <v>0.374000601370613</v>
      </c>
      <c r="N148" s="11" t="n">
        <v>0.246029331059072</v>
      </c>
      <c r="O148" s="12" t="n">
        <v>0.234193691585964</v>
      </c>
      <c r="P148" s="12" t="n">
        <v>0.646206555801688</v>
      </c>
      <c r="Q148" s="4" t="n">
        <f aca="false">RANK(N148,$N$7:$N$307,0)</f>
        <v>142</v>
      </c>
      <c r="R148" s="4" t="n">
        <f aca="false">RANK(O148,$O$7:$O$307,1)</f>
        <v>107</v>
      </c>
      <c r="S148" s="4" t="n">
        <f aca="false">RANK(J148,$J$7:$J$307,0)</f>
        <v>155</v>
      </c>
      <c r="T148" s="4" t="str">
        <f aca="false">IF(O148&lt;0.05,"YES","no")</f>
        <v>no</v>
      </c>
      <c r="U148" s="4" t="str">
        <f aca="false">IF(P148&lt;0.05,"YES","no")</f>
        <v>no</v>
      </c>
      <c r="V148" s="4" t="str">
        <f aca="false">IF(N148&gt;1,"YES","no")</f>
        <v>no</v>
      </c>
    </row>
    <row r="149" customFormat="false" ht="15" hidden="false" customHeight="false" outlineLevel="0" collapsed="false">
      <c r="A149" s="4" t="s">
        <v>152</v>
      </c>
      <c r="B149" s="4" t="s">
        <v>153</v>
      </c>
      <c r="C149" s="4" t="s">
        <v>61</v>
      </c>
      <c r="D149" s="8" t="n">
        <v>133.09704</v>
      </c>
      <c r="E149" s="9" t="n">
        <v>17</v>
      </c>
      <c r="F149" s="10" t="n">
        <v>14913051.97746</v>
      </c>
      <c r="G149" s="10" t="n">
        <v>4011521.58002462</v>
      </c>
      <c r="H149" s="10" t="n">
        <v>15798603.1664386</v>
      </c>
      <c r="I149" s="10" t="n">
        <v>3793637.43496143</v>
      </c>
      <c r="J149" s="10" t="n">
        <v>15355827.5719493</v>
      </c>
      <c r="K149" s="11" t="n">
        <v>1.05938094967529</v>
      </c>
      <c r="L149" s="11" t="n">
        <v>0.0832214707083878</v>
      </c>
      <c r="M149" s="11" t="n">
        <v>0.123289849489523</v>
      </c>
      <c r="N149" s="11" t="n">
        <v>0.244930273709876</v>
      </c>
      <c r="O149" s="12" t="n">
        <v>0.702682328439772</v>
      </c>
      <c r="P149" s="12" t="n">
        <v>0.892351479647869</v>
      </c>
      <c r="Q149" s="4" t="n">
        <f aca="false">RANK(N149,$N$7:$N$307,0)</f>
        <v>143</v>
      </c>
      <c r="R149" s="4" t="n">
        <f aca="false">RANK(O149,$O$7:$O$307,1)</f>
        <v>237</v>
      </c>
      <c r="S149" s="4" t="n">
        <f aca="false">RANK(J149,$J$7:$J$307,0)</f>
        <v>82</v>
      </c>
      <c r="T149" s="4" t="str">
        <f aca="false">IF(O149&lt;0.05,"YES","no")</f>
        <v>no</v>
      </c>
      <c r="U149" s="4" t="str">
        <f aca="false">IF(P149&lt;0.05,"YES","no")</f>
        <v>no</v>
      </c>
      <c r="V149" s="4" t="str">
        <f aca="false">IF(N149&gt;1,"YES","no")</f>
        <v>no</v>
      </c>
    </row>
    <row r="150" customFormat="false" ht="15" hidden="false" customHeight="false" outlineLevel="0" collapsed="false">
      <c r="A150" s="4" t="s">
        <v>161</v>
      </c>
      <c r="B150" s="4"/>
      <c r="C150" s="4" t="s">
        <v>72</v>
      </c>
      <c r="D150" s="8" t="n">
        <v>129.05567</v>
      </c>
      <c r="E150" s="9" t="n">
        <v>4.632</v>
      </c>
      <c r="F150" s="10" t="n">
        <v>2332661.332388</v>
      </c>
      <c r="G150" s="10" t="n">
        <v>1275773.09746875</v>
      </c>
      <c r="H150" s="10" t="n">
        <v>1510508.85718732</v>
      </c>
      <c r="I150" s="10" t="n">
        <v>391149.962454732</v>
      </c>
      <c r="J150" s="10" t="n">
        <v>1921585.09478766</v>
      </c>
      <c r="K150" s="11" t="n">
        <v>0.647547432717539</v>
      </c>
      <c r="L150" s="11" t="n">
        <v>-0.626942221099704</v>
      </c>
      <c r="M150" s="11" t="n">
        <v>0.430712433482222</v>
      </c>
      <c r="N150" s="11" t="n">
        <v>0.242669011243568</v>
      </c>
      <c r="O150" s="12" t="n">
        <v>0.182544354165262</v>
      </c>
      <c r="P150" s="12" t="n">
        <v>0.59081559788972</v>
      </c>
      <c r="Q150" s="4" t="n">
        <f aca="false">RANK(N150,$N$7:$N$307,0)</f>
        <v>144</v>
      </c>
      <c r="R150" s="4" t="n">
        <f aca="false">RANK(O150,$O$7:$O$307,1)</f>
        <v>93</v>
      </c>
      <c r="S150" s="4" t="n">
        <f aca="false">RANK(J150,$J$7:$J$307,0)</f>
        <v>178</v>
      </c>
      <c r="T150" s="4" t="str">
        <f aca="false">IF(O150&lt;0.05,"YES","no")</f>
        <v>no</v>
      </c>
      <c r="U150" s="4" t="str">
        <f aca="false">IF(P150&lt;0.05,"YES","no")</f>
        <v>no</v>
      </c>
      <c r="V150" s="4" t="str">
        <f aca="false">IF(N150&gt;1,"YES","no")</f>
        <v>no</v>
      </c>
    </row>
    <row r="151" customFormat="false" ht="15" hidden="false" customHeight="false" outlineLevel="0" collapsed="false">
      <c r="A151" s="4" t="s">
        <v>219</v>
      </c>
      <c r="B151" s="4"/>
      <c r="C151" s="4" t="s">
        <v>72</v>
      </c>
      <c r="D151" s="8" t="n">
        <v>131.08258</v>
      </c>
      <c r="E151" s="9" t="n">
        <v>11.631</v>
      </c>
      <c r="F151" s="10" t="n">
        <v>4009899.33238833</v>
      </c>
      <c r="G151" s="10" t="n">
        <v>1002516.45577887</v>
      </c>
      <c r="H151" s="10" t="n">
        <v>3591898.00376606</v>
      </c>
      <c r="I151" s="10" t="n">
        <v>1403259.52217023</v>
      </c>
      <c r="J151" s="10" t="n">
        <v>3800898.6680772</v>
      </c>
      <c r="K151" s="11" t="n">
        <v>0.895757650261682</v>
      </c>
      <c r="L151" s="11" t="n">
        <v>-0.158819634991726</v>
      </c>
      <c r="M151" s="11" t="n">
        <v>0.184521775597077</v>
      </c>
      <c r="N151" s="11" t="n">
        <v>0.241323725616632</v>
      </c>
      <c r="O151" s="12" t="n">
        <v>0.567252591052657</v>
      </c>
      <c r="P151" s="12" t="n">
        <v>0.832892828813901</v>
      </c>
      <c r="Q151" s="4" t="n">
        <f aca="false">RANK(N151,$N$7:$N$307,0)</f>
        <v>145</v>
      </c>
      <c r="R151" s="4" t="n">
        <f aca="false">RANK(O151,$O$7:$O$307,1)</f>
        <v>205</v>
      </c>
      <c r="S151" s="4" t="n">
        <f aca="false">RANK(J151,$J$7:$J$307,0)</f>
        <v>141</v>
      </c>
      <c r="T151" s="4" t="str">
        <f aca="false">IF(O151&lt;0.05,"YES","no")</f>
        <v>no</v>
      </c>
      <c r="U151" s="4" t="str">
        <f aca="false">IF(P151&lt;0.05,"YES","no")</f>
        <v>no</v>
      </c>
      <c r="V151" s="4" t="str">
        <f aca="false">IF(N151&gt;1,"YES","no")</f>
        <v>no</v>
      </c>
    </row>
    <row r="152" customFormat="false" ht="15" hidden="false" customHeight="false" outlineLevel="0" collapsed="false">
      <c r="A152" s="4" t="s">
        <v>207</v>
      </c>
      <c r="B152" s="4"/>
      <c r="C152" s="4" t="s">
        <v>61</v>
      </c>
      <c r="D152" s="8" t="n">
        <v>243.06218</v>
      </c>
      <c r="E152" s="9" t="n">
        <v>8.36</v>
      </c>
      <c r="F152" s="10" t="n">
        <v>6532359.73728688</v>
      </c>
      <c r="G152" s="10" t="n">
        <v>3353902.33295491</v>
      </c>
      <c r="H152" s="10" t="n">
        <v>5787335.16620233</v>
      </c>
      <c r="I152" s="10" t="n">
        <v>1337900.25450716</v>
      </c>
      <c r="J152" s="10" t="n">
        <v>6159847.4517446</v>
      </c>
      <c r="K152" s="11" t="n">
        <v>0.885948630962266</v>
      </c>
      <c r="L152" s="11" t="n">
        <v>-0.174705043967645</v>
      </c>
      <c r="M152" s="11" t="n">
        <v>0.157816830282629</v>
      </c>
      <c r="N152" s="11" t="n">
        <v>0.236317437874717</v>
      </c>
      <c r="O152" s="12" t="n">
        <v>0.62983317387296</v>
      </c>
      <c r="P152" s="12" t="n">
        <v>0.881168181006632</v>
      </c>
      <c r="Q152" s="4" t="n">
        <f aca="false">RANK(N152,$N$7:$N$307,0)</f>
        <v>146</v>
      </c>
      <c r="R152" s="4" t="n">
        <f aca="false">RANK(O152,$O$7:$O$307,1)</f>
        <v>213</v>
      </c>
      <c r="S152" s="4" t="n">
        <f aca="false">RANK(J152,$J$7:$J$307,0)</f>
        <v>119</v>
      </c>
      <c r="T152" s="4" t="str">
        <f aca="false">IF(O152&lt;0.05,"YES","no")</f>
        <v>no</v>
      </c>
      <c r="U152" s="4" t="str">
        <f aca="false">IF(P152&lt;0.05,"YES","no")</f>
        <v>no</v>
      </c>
      <c r="V152" s="4" t="str">
        <f aca="false">IF(N152&gt;1,"YES","no")</f>
        <v>no</v>
      </c>
    </row>
    <row r="153" customFormat="false" ht="15" hidden="false" customHeight="false" outlineLevel="0" collapsed="false">
      <c r="A153" s="4" t="s">
        <v>143</v>
      </c>
      <c r="B153" s="4"/>
      <c r="C153" s="4" t="s">
        <v>61</v>
      </c>
      <c r="D153" s="8" t="n">
        <v>104.03524</v>
      </c>
      <c r="E153" s="9" t="n">
        <v>11.442</v>
      </c>
      <c r="F153" s="10" t="n">
        <v>8843476.49282563</v>
      </c>
      <c r="G153" s="10" t="n">
        <v>1702349.36229328</v>
      </c>
      <c r="H153" s="10" t="n">
        <v>10162740.7294987</v>
      </c>
      <c r="I153" s="10" t="n">
        <v>2420493.72861752</v>
      </c>
      <c r="J153" s="10" t="n">
        <v>9503108.61116217</v>
      </c>
      <c r="K153" s="11" t="n">
        <v>1.1491793682884</v>
      </c>
      <c r="L153" s="11" t="n">
        <v>0.200603996890838</v>
      </c>
      <c r="M153" s="11" t="n">
        <v>0.326415619672953</v>
      </c>
      <c r="N153" s="11" t="n">
        <v>0.232592254351133</v>
      </c>
      <c r="O153" s="12" t="n">
        <v>0.303267650986015</v>
      </c>
      <c r="P153" s="12" t="n">
        <v>0.652060151640156</v>
      </c>
      <c r="Q153" s="4" t="n">
        <f aca="false">RANK(N153,$N$7:$N$307,0)</f>
        <v>147</v>
      </c>
      <c r="R153" s="4" t="n">
        <f aca="false">RANK(O153,$O$7:$O$307,1)</f>
        <v>139</v>
      </c>
      <c r="S153" s="4" t="n">
        <f aca="false">RANK(J153,$J$7:$J$307,0)</f>
        <v>101</v>
      </c>
      <c r="T153" s="4" t="str">
        <f aca="false">IF(O153&lt;0.05,"YES","no")</f>
        <v>no</v>
      </c>
      <c r="U153" s="4" t="str">
        <f aca="false">IF(P153&lt;0.05,"YES","no")</f>
        <v>no</v>
      </c>
      <c r="V153" s="4" t="str">
        <f aca="false">IF(N153&gt;1,"YES","no")</f>
        <v>no</v>
      </c>
    </row>
    <row r="154" customFormat="false" ht="15" hidden="false" customHeight="false" outlineLevel="0" collapsed="false">
      <c r="A154" s="4" t="s">
        <v>247</v>
      </c>
      <c r="B154" s="4" t="s">
        <v>248</v>
      </c>
      <c r="C154" s="4" t="s">
        <v>61</v>
      </c>
      <c r="D154" s="8" t="n">
        <v>145.0143</v>
      </c>
      <c r="E154" s="9" t="n">
        <v>9.217</v>
      </c>
      <c r="F154" s="10" t="n">
        <v>2523610.13432233</v>
      </c>
      <c r="G154" s="10" t="n">
        <v>1034728.0354662</v>
      </c>
      <c r="H154" s="10" t="n">
        <v>2372398.42835789</v>
      </c>
      <c r="I154" s="10" t="n">
        <v>1354142.01334421</v>
      </c>
      <c r="J154" s="10" t="n">
        <v>2448004.28134011</v>
      </c>
      <c r="K154" s="11" t="n">
        <v>0.94008119403711</v>
      </c>
      <c r="L154" s="11" t="n">
        <v>-0.0891427283354097</v>
      </c>
      <c r="M154" s="11" t="n">
        <v>0.0685665527921926</v>
      </c>
      <c r="N154" s="11" t="n">
        <v>0.227621947213441</v>
      </c>
      <c r="O154" s="12" t="n">
        <v>0.832611733490268</v>
      </c>
      <c r="P154" s="12" t="n">
        <v>0.923481941786446</v>
      </c>
      <c r="Q154" s="4" t="n">
        <f aca="false">RANK(N154,$N$7:$N$307,0)</f>
        <v>148</v>
      </c>
      <c r="R154" s="4" t="n">
        <f aca="false">RANK(O154,$O$7:$O$307,1)</f>
        <v>269</v>
      </c>
      <c r="S154" s="4" t="n">
        <f aca="false">RANK(J154,$J$7:$J$307,0)</f>
        <v>165</v>
      </c>
      <c r="T154" s="4" t="str">
        <f aca="false">IF(O154&lt;0.05,"YES","no")</f>
        <v>no</v>
      </c>
      <c r="U154" s="4" t="str">
        <f aca="false">IF(P154&lt;0.05,"YES","no")</f>
        <v>no</v>
      </c>
      <c r="V154" s="4" t="str">
        <f aca="false">IF(N154&gt;1,"YES","no")</f>
        <v>no</v>
      </c>
    </row>
    <row r="155" customFormat="false" ht="15" hidden="false" customHeight="false" outlineLevel="0" collapsed="false">
      <c r="A155" s="4" t="s">
        <v>315</v>
      </c>
      <c r="B155" s="4"/>
      <c r="C155" s="4" t="s">
        <v>72</v>
      </c>
      <c r="D155" s="8" t="n">
        <v>686.14313</v>
      </c>
      <c r="E155" s="9" t="n">
        <v>7.038</v>
      </c>
      <c r="F155" s="10" t="n">
        <v>2786183.91687451</v>
      </c>
      <c r="G155" s="10" t="n">
        <v>1358623.60977265</v>
      </c>
      <c r="H155" s="10" t="n">
        <v>3799594.84822816</v>
      </c>
      <c r="I155" s="10" t="n">
        <v>1240393.37036228</v>
      </c>
      <c r="J155" s="10" t="n">
        <v>3292889.38255134</v>
      </c>
      <c r="K155" s="11" t="n">
        <v>1.36372722030873</v>
      </c>
      <c r="L155" s="11" t="n">
        <v>0.447555097980882</v>
      </c>
      <c r="M155" s="11" t="n">
        <v>0.392461222702771</v>
      </c>
      <c r="N155" s="11" t="n">
        <v>0.225926872721257</v>
      </c>
      <c r="O155" s="12" t="n">
        <v>0.207225378176831</v>
      </c>
      <c r="P155" s="12" t="n">
        <v>0.605590657294096</v>
      </c>
      <c r="Q155" s="4" t="n">
        <f aca="false">RANK(N155,$N$7:$N$307,0)</f>
        <v>149</v>
      </c>
      <c r="R155" s="4" t="n">
        <f aca="false">RANK(O155,$O$7:$O$307,1)</f>
        <v>102</v>
      </c>
      <c r="S155" s="4" t="n">
        <f aca="false">RANK(J155,$J$7:$J$307,0)</f>
        <v>147</v>
      </c>
      <c r="T155" s="4" t="str">
        <f aca="false">IF(O155&lt;0.05,"YES","no")</f>
        <v>no</v>
      </c>
      <c r="U155" s="4" t="str">
        <f aca="false">IF(P155&lt;0.05,"YES","no")</f>
        <v>no</v>
      </c>
      <c r="V155" s="4" t="str">
        <f aca="false">IF(N155&gt;1,"YES","no")</f>
        <v>no</v>
      </c>
    </row>
    <row r="156" customFormat="false" ht="15" hidden="false" customHeight="false" outlineLevel="0" collapsed="false">
      <c r="A156" s="4" t="s">
        <v>288</v>
      </c>
      <c r="B156" s="4"/>
      <c r="C156" s="4" t="s">
        <v>61</v>
      </c>
      <c r="D156" s="8" t="n">
        <v>426.02229</v>
      </c>
      <c r="E156" s="9" t="n">
        <v>10.983</v>
      </c>
      <c r="F156" s="10" t="n">
        <v>1953800.16231698</v>
      </c>
      <c r="G156" s="10" t="n">
        <v>403345.20425495</v>
      </c>
      <c r="H156" s="10" t="n">
        <v>2557676.40069526</v>
      </c>
      <c r="I156" s="10" t="n">
        <v>425909.60096261</v>
      </c>
      <c r="J156" s="10" t="n">
        <v>2255738.28150612</v>
      </c>
      <c r="K156" s="11" t="n">
        <v>1.30907779107878</v>
      </c>
      <c r="L156" s="11" t="n">
        <v>0.388550831025665</v>
      </c>
      <c r="M156" s="11" t="n">
        <v>0.623466677707101</v>
      </c>
      <c r="N156" s="11" t="n">
        <v>0.224119171997524</v>
      </c>
      <c r="O156" s="12" t="n">
        <v>0.0303626813792271</v>
      </c>
      <c r="P156" s="12" t="n">
        <v>0.478364863336053</v>
      </c>
      <c r="Q156" s="4" t="n">
        <f aca="false">RANK(N156,$N$7:$N$307,0)</f>
        <v>150</v>
      </c>
      <c r="R156" s="4" t="n">
        <f aca="false">RANK(O156,$O$7:$O$307,1)</f>
        <v>15</v>
      </c>
      <c r="S156" s="4" t="n">
        <f aca="false">RANK(J156,$J$7:$J$307,0)</f>
        <v>169</v>
      </c>
      <c r="T156" s="4" t="str">
        <f aca="false">IF(O156&lt;0.05,"YES","no")</f>
        <v>YES</v>
      </c>
      <c r="U156" s="4" t="str">
        <f aca="false">IF(P156&lt;0.05,"YES","no")</f>
        <v>no</v>
      </c>
      <c r="V156" s="4" t="str">
        <f aca="false">IF(N156&gt;1,"YES","no")</f>
        <v>no</v>
      </c>
    </row>
    <row r="157" customFormat="false" ht="15" hidden="false" customHeight="false" outlineLevel="0" collapsed="false">
      <c r="A157" s="4" t="s">
        <v>252</v>
      </c>
      <c r="B157" s="4"/>
      <c r="C157" s="4" t="s">
        <v>61</v>
      </c>
      <c r="D157" s="8" t="n">
        <v>117.01924</v>
      </c>
      <c r="E157" s="9" t="n">
        <v>9.061</v>
      </c>
      <c r="F157" s="10" t="n">
        <v>4729955.47414949</v>
      </c>
      <c r="G157" s="10" t="n">
        <v>1513253.53707561</v>
      </c>
      <c r="H157" s="10" t="n">
        <v>5733551.20654077</v>
      </c>
      <c r="I157" s="10" t="n">
        <v>1481667.74182574</v>
      </c>
      <c r="J157" s="10" t="n">
        <v>5231753.34034513</v>
      </c>
      <c r="K157" s="11" t="n">
        <v>1.212178684953</v>
      </c>
      <c r="L157" s="11" t="n">
        <v>0.277602379416993</v>
      </c>
      <c r="M157" s="11" t="n">
        <v>0.34458207503736</v>
      </c>
      <c r="N157" s="11" t="n">
        <v>0.224080510908597</v>
      </c>
      <c r="O157" s="12" t="n">
        <v>0.272713620023558</v>
      </c>
      <c r="P157" s="12" t="n">
        <v>0.651482536722943</v>
      </c>
      <c r="Q157" s="4" t="n">
        <f aca="false">RANK(N157,$N$7:$N$307,0)</f>
        <v>151</v>
      </c>
      <c r="R157" s="4" t="n">
        <f aca="false">RANK(O157,$O$7:$O$307,1)</f>
        <v>126</v>
      </c>
      <c r="S157" s="4" t="n">
        <f aca="false">RANK(J157,$J$7:$J$307,0)</f>
        <v>125</v>
      </c>
      <c r="T157" s="4" t="str">
        <f aca="false">IF(O157&lt;0.05,"YES","no")</f>
        <v>no</v>
      </c>
      <c r="U157" s="4" t="str">
        <f aca="false">IF(P157&lt;0.05,"YES","no")</f>
        <v>no</v>
      </c>
      <c r="V157" s="4" t="str">
        <f aca="false">IF(N157&gt;1,"YES","no")</f>
        <v>no</v>
      </c>
    </row>
    <row r="158" customFormat="false" ht="15" hidden="false" customHeight="false" outlineLevel="0" collapsed="false">
      <c r="A158" s="4" t="s">
        <v>235</v>
      </c>
      <c r="B158" s="4"/>
      <c r="C158" s="4" t="s">
        <v>72</v>
      </c>
      <c r="D158" s="8" t="n">
        <v>204.08668</v>
      </c>
      <c r="E158" s="9" t="n">
        <v>8.886</v>
      </c>
      <c r="F158" s="10" t="n">
        <v>2697564.49207196</v>
      </c>
      <c r="G158" s="10" t="n">
        <v>564573.088820232</v>
      </c>
      <c r="H158" s="10" t="n">
        <v>2511092.11545604</v>
      </c>
      <c r="I158" s="10" t="n">
        <v>889756.695575445</v>
      </c>
      <c r="J158" s="10" t="n">
        <v>2604328.303764</v>
      </c>
      <c r="K158" s="11" t="n">
        <v>0.930873802215313</v>
      </c>
      <c r="L158" s="11" t="n">
        <v>-0.10334249880982</v>
      </c>
      <c r="M158" s="11" t="n">
        <v>0.135802084397127</v>
      </c>
      <c r="N158" s="11" t="n">
        <v>0.22396633913084</v>
      </c>
      <c r="O158" s="12" t="n">
        <v>0.675516545653796</v>
      </c>
      <c r="P158" s="12" t="n">
        <v>0.881168181006632</v>
      </c>
      <c r="Q158" s="4" t="n">
        <f aca="false">RANK(N158,$N$7:$N$307,0)</f>
        <v>152</v>
      </c>
      <c r="R158" s="4" t="n">
        <f aca="false">RANK(O158,$O$7:$O$307,1)</f>
        <v>230</v>
      </c>
      <c r="S158" s="4" t="n">
        <f aca="false">RANK(J158,$J$7:$J$307,0)</f>
        <v>164</v>
      </c>
      <c r="T158" s="4" t="str">
        <f aca="false">IF(O158&lt;0.05,"YES","no")</f>
        <v>no</v>
      </c>
      <c r="U158" s="4" t="str">
        <f aca="false">IF(P158&lt;0.05,"YES","no")</f>
        <v>no</v>
      </c>
      <c r="V158" s="4" t="str">
        <f aca="false">IF(N158&gt;1,"YES","no")</f>
        <v>no</v>
      </c>
    </row>
    <row r="159" customFormat="false" ht="15" hidden="false" customHeight="false" outlineLevel="0" collapsed="false">
      <c r="A159" s="4" t="s">
        <v>407</v>
      </c>
      <c r="B159" s="4"/>
      <c r="C159" s="4" t="s">
        <v>72</v>
      </c>
      <c r="D159" s="8" t="n">
        <v>316.24812</v>
      </c>
      <c r="E159" s="9" t="n">
        <v>6.846</v>
      </c>
      <c r="F159" s="10" t="n">
        <v>3238477.93154934</v>
      </c>
      <c r="G159" s="10" t="n">
        <v>1531033.38849284</v>
      </c>
      <c r="H159" s="10" t="n">
        <v>2661852.50279215</v>
      </c>
      <c r="I159" s="10" t="n">
        <v>1542725.4082984</v>
      </c>
      <c r="J159" s="10" t="n">
        <v>2950165.21717074</v>
      </c>
      <c r="K159" s="11" t="n">
        <v>0.821945543262874</v>
      </c>
      <c r="L159" s="11" t="n">
        <v>-0.28288528135403</v>
      </c>
      <c r="M159" s="11" t="n">
        <v>0.201293459429592</v>
      </c>
      <c r="N159" s="11" t="n">
        <v>0.222104814096655</v>
      </c>
      <c r="O159" s="12" t="n">
        <v>0.530435534727477</v>
      </c>
      <c r="P159" s="12" t="n">
        <v>0.822995339963766</v>
      </c>
      <c r="Q159" s="4" t="n">
        <f aca="false">RANK(N159,$N$7:$N$307,0)</f>
        <v>153</v>
      </c>
      <c r="R159" s="4" t="n">
        <f aca="false">RANK(O159,$O$7:$O$307,1)</f>
        <v>194</v>
      </c>
      <c r="S159" s="4" t="n">
        <f aca="false">RANK(J159,$J$7:$J$307,0)</f>
        <v>158</v>
      </c>
      <c r="T159" s="4" t="str">
        <f aca="false">IF(O159&lt;0.05,"YES","no")</f>
        <v>no</v>
      </c>
      <c r="U159" s="4" t="str">
        <f aca="false">IF(P159&lt;0.05,"YES","no")</f>
        <v>no</v>
      </c>
      <c r="V159" s="4" t="str">
        <f aca="false">IF(N159&gt;1,"YES","no")</f>
        <v>no</v>
      </c>
    </row>
    <row r="160" customFormat="false" ht="15" hidden="false" customHeight="false" outlineLevel="0" collapsed="false">
      <c r="A160" s="4" t="s">
        <v>238</v>
      </c>
      <c r="B160" s="4" t="s">
        <v>239</v>
      </c>
      <c r="C160" s="4" t="s">
        <v>72</v>
      </c>
      <c r="D160" s="8" t="n">
        <v>271.22774</v>
      </c>
      <c r="E160" s="9" t="n">
        <v>3.836</v>
      </c>
      <c r="F160" s="10" t="n">
        <v>4929932.20823406</v>
      </c>
      <c r="G160" s="10" t="n">
        <v>1883984.33407196</v>
      </c>
      <c r="H160" s="10" t="n">
        <v>5999734.66770179</v>
      </c>
      <c r="I160" s="10" t="n">
        <v>1386065.51277508</v>
      </c>
      <c r="J160" s="10" t="n">
        <v>5464833.43796792</v>
      </c>
      <c r="K160" s="11" t="n">
        <v>1.21700145443804</v>
      </c>
      <c r="L160" s="11" t="n">
        <v>0.283330892217042</v>
      </c>
      <c r="M160" s="11" t="n">
        <v>0.333953067524215</v>
      </c>
      <c r="N160" s="11" t="n">
        <v>0.219268305936196</v>
      </c>
      <c r="O160" s="12" t="n">
        <v>0.290989846931846</v>
      </c>
      <c r="P160" s="12" t="n">
        <v>0.652060151640156</v>
      </c>
      <c r="Q160" s="4" t="n">
        <f aca="false">RANK(N160,$N$7:$N$307,0)</f>
        <v>154</v>
      </c>
      <c r="R160" s="4" t="n">
        <f aca="false">RANK(O160,$O$7:$O$307,1)</f>
        <v>131</v>
      </c>
      <c r="S160" s="4" t="n">
        <f aca="false">RANK(J160,$J$7:$J$307,0)</f>
        <v>124</v>
      </c>
      <c r="T160" s="4" t="str">
        <f aca="false">IF(O160&lt;0.05,"YES","no")</f>
        <v>no</v>
      </c>
      <c r="U160" s="4" t="str">
        <f aca="false">IF(P160&lt;0.05,"YES","no")</f>
        <v>no</v>
      </c>
      <c r="V160" s="4" t="str">
        <f aca="false">IF(N160&gt;1,"YES","no")</f>
        <v>no</v>
      </c>
    </row>
    <row r="161" customFormat="false" ht="15" hidden="false" customHeight="false" outlineLevel="0" collapsed="false">
      <c r="A161" s="4" t="s">
        <v>225</v>
      </c>
      <c r="B161" s="4"/>
      <c r="C161" s="4" t="s">
        <v>61</v>
      </c>
      <c r="D161" s="8" t="n">
        <v>111.01993</v>
      </c>
      <c r="E161" s="9" t="n">
        <v>7.507</v>
      </c>
      <c r="F161" s="10" t="n">
        <v>2198444.46935942</v>
      </c>
      <c r="G161" s="10" t="n">
        <v>967613.83118596</v>
      </c>
      <c r="H161" s="10" t="n">
        <v>1594962.10971023</v>
      </c>
      <c r="I161" s="10" t="n">
        <v>190633.505603732</v>
      </c>
      <c r="J161" s="10" t="n">
        <v>1896703.28953483</v>
      </c>
      <c r="K161" s="11" t="n">
        <v>0.725495745714679</v>
      </c>
      <c r="L161" s="11" t="n">
        <v>-0.462960940491043</v>
      </c>
      <c r="M161" s="11" t="n">
        <v>0.428311974250272</v>
      </c>
      <c r="N161" s="11" t="n">
        <v>0.215308699842888</v>
      </c>
      <c r="O161" s="12" t="n">
        <v>0.190050367893095</v>
      </c>
      <c r="P161" s="12" t="n">
        <v>0.598504221286473</v>
      </c>
      <c r="Q161" s="4" t="n">
        <f aca="false">RANK(N161,$N$7:$N$307,0)</f>
        <v>155</v>
      </c>
      <c r="R161" s="4" t="n">
        <f aca="false">RANK(O161,$O$7:$O$307,1)</f>
        <v>95</v>
      </c>
      <c r="S161" s="4" t="n">
        <f aca="false">RANK(J161,$J$7:$J$307,0)</f>
        <v>181</v>
      </c>
      <c r="T161" s="4" t="str">
        <f aca="false">IF(O161&lt;0.05,"YES","no")</f>
        <v>no</v>
      </c>
      <c r="U161" s="4" t="str">
        <f aca="false">IF(P161&lt;0.05,"YES","no")</f>
        <v>no</v>
      </c>
      <c r="V161" s="4" t="str">
        <f aca="false">IF(N161&gt;1,"YES","no")</f>
        <v>no</v>
      </c>
    </row>
    <row r="162" customFormat="false" ht="15" hidden="false" customHeight="false" outlineLevel="0" collapsed="false">
      <c r="A162" s="4" t="s">
        <v>325</v>
      </c>
      <c r="B162" s="4"/>
      <c r="C162" s="4" t="s">
        <v>61</v>
      </c>
      <c r="D162" s="8" t="n">
        <v>162.07602</v>
      </c>
      <c r="E162" s="9" t="n">
        <v>9.033</v>
      </c>
      <c r="F162" s="10" t="n">
        <v>2120862.4054845</v>
      </c>
      <c r="G162" s="10" t="n">
        <v>717482.619692389</v>
      </c>
      <c r="H162" s="10" t="n">
        <v>1706093.76185464</v>
      </c>
      <c r="I162" s="10" t="n">
        <v>330961.752133263</v>
      </c>
      <c r="J162" s="10" t="n">
        <v>1913478.08366957</v>
      </c>
      <c r="K162" s="11" t="n">
        <v>0.804433968673649</v>
      </c>
      <c r="L162" s="11" t="n">
        <v>-0.313954091560467</v>
      </c>
      <c r="M162" s="11" t="n">
        <v>0.376663950130321</v>
      </c>
      <c r="N162" s="11" t="n">
        <v>0.215216785247488</v>
      </c>
      <c r="O162" s="12" t="n">
        <v>0.239206270216441</v>
      </c>
      <c r="P162" s="12" t="n">
        <v>0.646206555801688</v>
      </c>
      <c r="Q162" s="4" t="n">
        <f aca="false">RANK(N162,$N$7:$N$307,0)</f>
        <v>156</v>
      </c>
      <c r="R162" s="4" t="n">
        <f aca="false">RANK(O162,$O$7:$O$307,1)</f>
        <v>110</v>
      </c>
      <c r="S162" s="4" t="n">
        <f aca="false">RANK(J162,$J$7:$J$307,0)</f>
        <v>179</v>
      </c>
      <c r="T162" s="4" t="str">
        <f aca="false">IF(O162&lt;0.05,"YES","no")</f>
        <v>no</v>
      </c>
      <c r="U162" s="4" t="str">
        <f aca="false">IF(P162&lt;0.05,"YES","no")</f>
        <v>no</v>
      </c>
      <c r="V162" s="4" t="str">
        <f aca="false">IF(N162&gt;1,"YES","no")</f>
        <v>no</v>
      </c>
    </row>
    <row r="163" customFormat="false" ht="15" hidden="false" customHeight="false" outlineLevel="0" collapsed="false">
      <c r="A163" s="4" t="s">
        <v>337</v>
      </c>
      <c r="B163" s="4"/>
      <c r="C163" s="4" t="s">
        <v>72</v>
      </c>
      <c r="D163" s="8" t="n">
        <v>187.1077</v>
      </c>
      <c r="E163" s="9" t="n">
        <v>9.366</v>
      </c>
      <c r="F163" s="10" t="n">
        <v>1200384.97244608</v>
      </c>
      <c r="G163" s="10" t="n">
        <v>421419.093270845</v>
      </c>
      <c r="H163" s="10" t="n">
        <v>1848689.77431038</v>
      </c>
      <c r="I163" s="10" t="n">
        <v>637209.544511607</v>
      </c>
      <c r="J163" s="10" t="n">
        <v>1524537.37337823</v>
      </c>
      <c r="K163" s="11" t="n">
        <v>1.54008073805125</v>
      </c>
      <c r="L163" s="11" t="n">
        <v>0.623005985551913</v>
      </c>
      <c r="M163" s="11" t="n">
        <v>0.549289383717737</v>
      </c>
      <c r="N163" s="11" t="n">
        <v>0.211535194768365</v>
      </c>
      <c r="O163" s="12" t="n">
        <v>0.0685758896888664</v>
      </c>
      <c r="P163" s="12" t="n">
        <v>0.543193231482863</v>
      </c>
      <c r="Q163" s="4" t="n">
        <f aca="false">RANK(N163,$N$7:$N$307,0)</f>
        <v>157</v>
      </c>
      <c r="R163" s="4" t="n">
        <f aca="false">RANK(O163,$O$7:$O$307,1)</f>
        <v>38</v>
      </c>
      <c r="S163" s="4" t="n">
        <f aca="false">RANK(J163,$J$7:$J$307,0)</f>
        <v>196</v>
      </c>
      <c r="T163" s="4" t="str">
        <f aca="false">IF(O163&lt;0.05,"YES","no")</f>
        <v>no</v>
      </c>
      <c r="U163" s="4" t="str">
        <f aca="false">IF(P163&lt;0.05,"YES","no")</f>
        <v>no</v>
      </c>
      <c r="V163" s="4" t="str">
        <f aca="false">IF(N163&gt;1,"YES","no")</f>
        <v>no</v>
      </c>
    </row>
    <row r="164" customFormat="false" ht="15" hidden="false" customHeight="false" outlineLevel="0" collapsed="false">
      <c r="A164" s="4" t="s">
        <v>254</v>
      </c>
      <c r="B164" s="4"/>
      <c r="C164" s="4" t="s">
        <v>61</v>
      </c>
      <c r="D164" s="8" t="n">
        <v>565.04835</v>
      </c>
      <c r="E164" s="9" t="n">
        <v>9.395</v>
      </c>
      <c r="F164" s="10" t="n">
        <v>4538452.55717648</v>
      </c>
      <c r="G164" s="10" t="n">
        <v>2177092.6338076</v>
      </c>
      <c r="H164" s="10" t="n">
        <v>5124864.9522787</v>
      </c>
      <c r="I164" s="10" t="n">
        <v>2387514.03373953</v>
      </c>
      <c r="J164" s="10" t="n">
        <v>4831658.75472759</v>
      </c>
      <c r="K164" s="11" t="n">
        <v>1.12920976648196</v>
      </c>
      <c r="L164" s="11" t="n">
        <v>0.175313511755501</v>
      </c>
      <c r="M164" s="11" t="n">
        <v>0.139212988762584</v>
      </c>
      <c r="N164" s="11" t="n">
        <v>0.210623543152286</v>
      </c>
      <c r="O164" s="12" t="n">
        <v>0.666184016404087</v>
      </c>
      <c r="P164" s="12" t="n">
        <v>0.881168181006632</v>
      </c>
      <c r="Q164" s="4" t="n">
        <f aca="false">RANK(N164,$N$7:$N$307,0)</f>
        <v>158</v>
      </c>
      <c r="R164" s="4" t="n">
        <f aca="false">RANK(O164,$O$7:$O$307,1)</f>
        <v>225</v>
      </c>
      <c r="S164" s="4" t="n">
        <f aca="false">RANK(J164,$J$7:$J$307,0)</f>
        <v>128</v>
      </c>
      <c r="T164" s="4" t="str">
        <f aca="false">IF(O164&lt;0.05,"YES","no")</f>
        <v>no</v>
      </c>
      <c r="U164" s="4" t="str">
        <f aca="false">IF(P164&lt;0.05,"YES","no")</f>
        <v>no</v>
      </c>
      <c r="V164" s="4" t="str">
        <f aca="false">IF(N164&gt;1,"YES","no")</f>
        <v>no</v>
      </c>
    </row>
    <row r="165" customFormat="false" ht="15" hidden="false" customHeight="false" outlineLevel="0" collapsed="false">
      <c r="A165" s="4" t="s">
        <v>320</v>
      </c>
      <c r="B165" s="4"/>
      <c r="C165" s="4" t="s">
        <v>61</v>
      </c>
      <c r="D165" s="8" t="n">
        <v>190.05434</v>
      </c>
      <c r="E165" s="9" t="n">
        <v>5.023</v>
      </c>
      <c r="F165" s="10" t="n">
        <v>643751.906997827</v>
      </c>
      <c r="G165" s="10" t="n">
        <v>345983.579793762</v>
      </c>
      <c r="H165" s="10" t="n">
        <v>1166487.40437423</v>
      </c>
      <c r="I165" s="10" t="n">
        <v>326568.760691988</v>
      </c>
      <c r="J165" s="10" t="n">
        <v>905119.655686026</v>
      </c>
      <c r="K165" s="11" t="n">
        <v>1.81201390115364</v>
      </c>
      <c r="L165" s="11" t="n">
        <v>0.8575940232917</v>
      </c>
      <c r="M165" s="11" t="n">
        <v>0.648121671720727</v>
      </c>
      <c r="N165" s="11" t="n">
        <v>0.210411481048258</v>
      </c>
      <c r="O165" s="12" t="n">
        <v>0.0227101186688979</v>
      </c>
      <c r="P165" s="12" t="n">
        <v>0.478364863336053</v>
      </c>
      <c r="Q165" s="4" t="n">
        <f aca="false">RANK(N165,$N$7:$N$307,0)</f>
        <v>159</v>
      </c>
      <c r="R165" s="4" t="n">
        <f aca="false">RANK(O165,$O$7:$O$307,1)</f>
        <v>12</v>
      </c>
      <c r="S165" s="4" t="n">
        <f aca="false">RANK(J165,$J$7:$J$307,0)</f>
        <v>217</v>
      </c>
      <c r="T165" s="4" t="str">
        <f aca="false">IF(O165&lt;0.05,"YES","no")</f>
        <v>YES</v>
      </c>
      <c r="U165" s="4" t="str">
        <f aca="false">IF(P165&lt;0.05,"YES","no")</f>
        <v>no</v>
      </c>
      <c r="V165" s="4" t="str">
        <f aca="false">IF(N165&gt;1,"YES","no")</f>
        <v>no</v>
      </c>
    </row>
    <row r="166" customFormat="false" ht="15" hidden="false" customHeight="false" outlineLevel="0" collapsed="false">
      <c r="A166" s="4" t="s">
        <v>368</v>
      </c>
      <c r="B166" s="4"/>
      <c r="C166" s="4" t="s">
        <v>61</v>
      </c>
      <c r="D166" s="8" t="n">
        <v>523.99823</v>
      </c>
      <c r="E166" s="9" t="n">
        <v>11.169</v>
      </c>
      <c r="F166" s="10" t="n">
        <v>1746411.71737675</v>
      </c>
      <c r="G166" s="10" t="n">
        <v>619167.717466341</v>
      </c>
      <c r="H166" s="10" t="n">
        <v>1371531.40734955</v>
      </c>
      <c r="I166" s="10" t="n">
        <v>958245.483795896</v>
      </c>
      <c r="J166" s="10" t="n">
        <v>1558971.56236315</v>
      </c>
      <c r="K166" s="11" t="n">
        <v>0.785342536185969</v>
      </c>
      <c r="L166" s="11" t="n">
        <v>-0.348606055569674</v>
      </c>
      <c r="M166" s="11" t="n">
        <v>0.24665987879295</v>
      </c>
      <c r="N166" s="11" t="n">
        <v>0.209740440148529</v>
      </c>
      <c r="O166" s="12" t="n">
        <v>0.442683136003861</v>
      </c>
      <c r="P166" s="12" t="n">
        <v>0.779874320834923</v>
      </c>
      <c r="Q166" s="4" t="n">
        <f aca="false">RANK(N166,$N$7:$N$307,0)</f>
        <v>160</v>
      </c>
      <c r="R166" s="4" t="n">
        <f aca="false">RANK(O166,$O$7:$O$307,1)</f>
        <v>170</v>
      </c>
      <c r="S166" s="4" t="n">
        <f aca="false">RANK(J166,$J$7:$J$307,0)</f>
        <v>194</v>
      </c>
      <c r="T166" s="4" t="str">
        <f aca="false">IF(O166&lt;0.05,"YES","no")</f>
        <v>no</v>
      </c>
      <c r="U166" s="4" t="str">
        <f aca="false">IF(P166&lt;0.05,"YES","no")</f>
        <v>no</v>
      </c>
      <c r="V166" s="4" t="str">
        <f aca="false">IF(N166&gt;1,"YES","no")</f>
        <v>no</v>
      </c>
    </row>
    <row r="167" customFormat="false" ht="15" hidden="false" customHeight="false" outlineLevel="0" collapsed="false">
      <c r="A167" s="4" t="s">
        <v>360</v>
      </c>
      <c r="B167" s="4"/>
      <c r="C167" s="4" t="s">
        <v>72</v>
      </c>
      <c r="D167" s="8" t="n">
        <v>203.13891</v>
      </c>
      <c r="E167" s="9" t="n">
        <v>5.031</v>
      </c>
      <c r="F167" s="10" t="n">
        <v>799124.216588763</v>
      </c>
      <c r="G167" s="10" t="n">
        <v>428443.080557667</v>
      </c>
      <c r="H167" s="10" t="n">
        <v>1506626.46767478</v>
      </c>
      <c r="I167" s="10" t="n">
        <v>877950.136232492</v>
      </c>
      <c r="J167" s="10" t="n">
        <v>1152875.34213177</v>
      </c>
      <c r="K167" s="11" t="n">
        <v>1.88534702915917</v>
      </c>
      <c r="L167" s="11" t="n">
        <v>0.914830099709881</v>
      </c>
      <c r="M167" s="11" t="n">
        <v>0.489253867985477</v>
      </c>
      <c r="N167" s="11" t="n">
        <v>0.209534981343554</v>
      </c>
      <c r="O167" s="12" t="n">
        <v>0.117847937751782</v>
      </c>
      <c r="P167" s="12" t="n">
        <v>0.569996631753627</v>
      </c>
      <c r="Q167" s="4" t="n">
        <f aca="false">RANK(N167,$N$7:$N$307,0)</f>
        <v>161</v>
      </c>
      <c r="R167" s="4" t="n">
        <f aca="false">RANK(O167,$O$7:$O$307,1)</f>
        <v>62</v>
      </c>
      <c r="S167" s="4" t="n">
        <f aca="false">RANK(J167,$J$7:$J$307,0)</f>
        <v>206</v>
      </c>
      <c r="T167" s="4" t="str">
        <f aca="false">IF(O167&lt;0.05,"YES","no")</f>
        <v>no</v>
      </c>
      <c r="U167" s="4" t="str">
        <f aca="false">IF(P167&lt;0.05,"YES","no")</f>
        <v>no</v>
      </c>
      <c r="V167" s="4" t="str">
        <f aca="false">IF(N167&gt;1,"YES","no")</f>
        <v>no</v>
      </c>
    </row>
    <row r="168" customFormat="false" ht="15" hidden="false" customHeight="false" outlineLevel="0" collapsed="false">
      <c r="A168" s="4" t="s">
        <v>279</v>
      </c>
      <c r="B168" s="4"/>
      <c r="C168" s="4" t="s">
        <v>61</v>
      </c>
      <c r="D168" s="8" t="n">
        <v>402.99448</v>
      </c>
      <c r="E168" s="9" t="n">
        <v>10.398</v>
      </c>
      <c r="F168" s="10" t="n">
        <v>1939715.05142438</v>
      </c>
      <c r="G168" s="10" t="n">
        <v>320393.542808675</v>
      </c>
      <c r="H168" s="10" t="n">
        <v>1700071.56887063</v>
      </c>
      <c r="I168" s="10" t="n">
        <v>666841.378745355</v>
      </c>
      <c r="J168" s="10" t="n">
        <v>1819893.31014751</v>
      </c>
      <c r="K168" s="11" t="n">
        <v>0.876454285191132</v>
      </c>
      <c r="L168" s="11" t="n">
        <v>-0.190249251190651</v>
      </c>
      <c r="M168" s="11" t="n">
        <v>0.243365660713258</v>
      </c>
      <c r="N168" s="11" t="n">
        <v>0.207412793531845</v>
      </c>
      <c r="O168" s="12" t="n">
        <v>0.452897860219601</v>
      </c>
      <c r="P168" s="12" t="n">
        <v>0.779874320834923</v>
      </c>
      <c r="Q168" s="4" t="n">
        <f aca="false">RANK(N168,$N$7:$N$307,0)</f>
        <v>162</v>
      </c>
      <c r="R168" s="4" t="n">
        <f aca="false">RANK(O168,$O$7:$O$307,1)</f>
        <v>174</v>
      </c>
      <c r="S168" s="4" t="n">
        <f aca="false">RANK(J168,$J$7:$J$307,0)</f>
        <v>185</v>
      </c>
      <c r="T168" s="4" t="str">
        <f aca="false">IF(O168&lt;0.05,"YES","no")</f>
        <v>no</v>
      </c>
      <c r="U168" s="4" t="str">
        <f aca="false">IF(P168&lt;0.05,"YES","no")</f>
        <v>no</v>
      </c>
      <c r="V168" s="4" t="str">
        <f aca="false">IF(N168&gt;1,"YES","no")</f>
        <v>no</v>
      </c>
    </row>
    <row r="169" customFormat="false" ht="15" hidden="false" customHeight="false" outlineLevel="0" collapsed="false">
      <c r="A169" s="4" t="s">
        <v>232</v>
      </c>
      <c r="B169" s="4" t="s">
        <v>233</v>
      </c>
      <c r="C169" s="4" t="s">
        <v>61</v>
      </c>
      <c r="D169" s="8" t="n">
        <v>152.05666</v>
      </c>
      <c r="E169" s="9" t="n">
        <v>10.281</v>
      </c>
      <c r="F169" s="10" t="n">
        <v>8058393.78975662</v>
      </c>
      <c r="G169" s="10" t="n">
        <v>1357173.37321301</v>
      </c>
      <c r="H169" s="10" t="n">
        <v>8350857.3802417</v>
      </c>
      <c r="I169" s="10" t="n">
        <v>1714457.89754844</v>
      </c>
      <c r="J169" s="10" t="n">
        <v>8204625.58499916</v>
      </c>
      <c r="K169" s="11" t="n">
        <v>1.03629303780821</v>
      </c>
      <c r="L169" s="11" t="n">
        <v>0.0514320188675936</v>
      </c>
      <c r="M169" s="11" t="n">
        <v>0.103052069892857</v>
      </c>
      <c r="N169" s="11" t="n">
        <v>0.205606323848771</v>
      </c>
      <c r="O169" s="12" t="n">
        <v>0.750301805030404</v>
      </c>
      <c r="P169" s="12" t="n">
        <v>0.907830327241279</v>
      </c>
      <c r="Q169" s="4" t="n">
        <f aca="false">RANK(N169,$N$7:$N$307,0)</f>
        <v>163</v>
      </c>
      <c r="R169" s="4" t="n">
        <f aca="false">RANK(O169,$O$7:$O$307,1)</f>
        <v>248</v>
      </c>
      <c r="S169" s="4" t="n">
        <f aca="false">RANK(J169,$J$7:$J$307,0)</f>
        <v>107</v>
      </c>
      <c r="T169" s="4" t="str">
        <f aca="false">IF(O169&lt;0.05,"YES","no")</f>
        <v>no</v>
      </c>
      <c r="U169" s="4" t="str">
        <f aca="false">IF(P169&lt;0.05,"YES","no")</f>
        <v>no</v>
      </c>
      <c r="V169" s="4" t="str">
        <f aca="false">IF(N169&gt;1,"YES","no")</f>
        <v>no</v>
      </c>
    </row>
    <row r="170" customFormat="false" ht="15" hidden="false" customHeight="false" outlineLevel="0" collapsed="false">
      <c r="A170" s="4" t="s">
        <v>291</v>
      </c>
      <c r="B170" s="4"/>
      <c r="C170" s="4" t="s">
        <v>72</v>
      </c>
      <c r="D170" s="8" t="n">
        <v>245.11326</v>
      </c>
      <c r="E170" s="9" t="n">
        <v>9.843</v>
      </c>
      <c r="F170" s="10" t="n">
        <v>3188863.24292263</v>
      </c>
      <c r="G170" s="10" t="n">
        <v>1147455.08946857</v>
      </c>
      <c r="H170" s="10" t="n">
        <v>3095366.39245117</v>
      </c>
      <c r="I170" s="10" t="n">
        <v>1190260.17882188</v>
      </c>
      <c r="J170" s="10" t="n">
        <v>3142114.8176869</v>
      </c>
      <c r="K170" s="11" t="n">
        <v>0.970680194367392</v>
      </c>
      <c r="L170" s="11" t="n">
        <v>-0.0429320391981896</v>
      </c>
      <c r="M170" s="11" t="n">
        <v>0.0437629832421521</v>
      </c>
      <c r="N170" s="11" t="n">
        <v>0.203795270971752</v>
      </c>
      <c r="O170" s="12" t="n">
        <v>0.892580204300196</v>
      </c>
      <c r="P170" s="12" t="n">
        <v>0.939393851378877</v>
      </c>
      <c r="Q170" s="4" t="n">
        <f aca="false">RANK(N170,$N$7:$N$307,0)</f>
        <v>164</v>
      </c>
      <c r="R170" s="4" t="n">
        <f aca="false">RANK(O170,$O$7:$O$307,1)</f>
        <v>286</v>
      </c>
      <c r="S170" s="4" t="n">
        <f aca="false">RANK(J170,$J$7:$J$307,0)</f>
        <v>151</v>
      </c>
      <c r="T170" s="4" t="str">
        <f aca="false">IF(O170&lt;0.05,"YES","no")</f>
        <v>no</v>
      </c>
      <c r="U170" s="4" t="str">
        <f aca="false">IF(P170&lt;0.05,"YES","no")</f>
        <v>no</v>
      </c>
      <c r="V170" s="4" t="str">
        <f aca="false">IF(N170&gt;1,"YES","no")</f>
        <v>no</v>
      </c>
    </row>
    <row r="171" customFormat="false" ht="15" hidden="false" customHeight="false" outlineLevel="0" collapsed="false">
      <c r="A171" s="4" t="s">
        <v>311</v>
      </c>
      <c r="B171" s="4"/>
      <c r="C171" s="4" t="s">
        <v>72</v>
      </c>
      <c r="D171" s="8" t="n">
        <v>243.10881</v>
      </c>
      <c r="E171" s="9" t="n">
        <v>9.193</v>
      </c>
      <c r="F171" s="10" t="n">
        <v>566879.489043512</v>
      </c>
      <c r="G171" s="10" t="n">
        <v>192765.009163862</v>
      </c>
      <c r="H171" s="10" t="n">
        <v>1044211.88776472</v>
      </c>
      <c r="I171" s="10" t="n">
        <v>371811.278278376</v>
      </c>
      <c r="J171" s="10" t="n">
        <v>805545.688404118</v>
      </c>
      <c r="K171" s="11" t="n">
        <v>1.84203504968333</v>
      </c>
      <c r="L171" s="11" t="n">
        <v>0.881300512853374</v>
      </c>
      <c r="M171" s="11" t="n">
        <v>0.661824591560743</v>
      </c>
      <c r="N171" s="11" t="n">
        <v>0.199634670086481</v>
      </c>
      <c r="O171" s="12" t="n">
        <v>0.0250156290938376</v>
      </c>
      <c r="P171" s="12" t="n">
        <v>0.478364863336053</v>
      </c>
      <c r="Q171" s="4" t="n">
        <f aca="false">RANK(N171,$N$7:$N$307,0)</f>
        <v>165</v>
      </c>
      <c r="R171" s="4" t="n">
        <f aca="false">RANK(O171,$O$7:$O$307,1)</f>
        <v>14</v>
      </c>
      <c r="S171" s="4" t="n">
        <f aca="false">RANK(J171,$J$7:$J$307,0)</f>
        <v>223</v>
      </c>
      <c r="T171" s="4" t="str">
        <f aca="false">IF(O171&lt;0.05,"YES","no")</f>
        <v>YES</v>
      </c>
      <c r="U171" s="4" t="str">
        <f aca="false">IF(P171&lt;0.05,"YES","no")</f>
        <v>no</v>
      </c>
      <c r="V171" s="4" t="str">
        <f aca="false">IF(N171&gt;1,"YES","no")</f>
        <v>no</v>
      </c>
    </row>
    <row r="172" customFormat="false" ht="15" hidden="false" customHeight="false" outlineLevel="0" collapsed="false">
      <c r="A172" s="4" t="s">
        <v>212</v>
      </c>
      <c r="B172" s="4" t="s">
        <v>174</v>
      </c>
      <c r="C172" s="4" t="s">
        <v>72</v>
      </c>
      <c r="D172" s="8" t="n">
        <v>505.98832</v>
      </c>
      <c r="E172" s="9" t="n">
        <v>12.002</v>
      </c>
      <c r="F172" s="10" t="n">
        <v>3984906.08488224</v>
      </c>
      <c r="G172" s="10" t="n">
        <v>937332.92456522</v>
      </c>
      <c r="H172" s="10" t="n">
        <v>3276884.38954636</v>
      </c>
      <c r="I172" s="10" t="n">
        <v>1697281.83977406</v>
      </c>
      <c r="J172" s="10" t="n">
        <v>3630895.2372143</v>
      </c>
      <c r="K172" s="11" t="n">
        <v>0.822324120003245</v>
      </c>
      <c r="L172" s="11" t="n">
        <v>-0.28222094896649</v>
      </c>
      <c r="M172" s="11" t="n">
        <v>0.272177316353291</v>
      </c>
      <c r="N172" s="11" t="n">
        <v>0.198278711369828</v>
      </c>
      <c r="O172" s="12" t="n">
        <v>0.397862938649289</v>
      </c>
      <c r="P172" s="12" t="n">
        <v>0.753187072537333</v>
      </c>
      <c r="Q172" s="4" t="n">
        <f aca="false">RANK(N172,$N$7:$N$307,0)</f>
        <v>166</v>
      </c>
      <c r="R172" s="4" t="n">
        <f aca="false">RANK(O172,$O$7:$O$307,1)</f>
        <v>159</v>
      </c>
      <c r="S172" s="4" t="n">
        <f aca="false">RANK(J172,$J$7:$J$307,0)</f>
        <v>145</v>
      </c>
      <c r="T172" s="4" t="str">
        <f aca="false">IF(O172&lt;0.05,"YES","no")</f>
        <v>no</v>
      </c>
      <c r="U172" s="4" t="str">
        <f aca="false">IF(P172&lt;0.05,"YES","no")</f>
        <v>no</v>
      </c>
      <c r="V172" s="4" t="str">
        <f aca="false">IF(N172&gt;1,"YES","no")</f>
        <v>no</v>
      </c>
    </row>
    <row r="173" customFormat="false" ht="15" hidden="false" customHeight="false" outlineLevel="0" collapsed="false">
      <c r="A173" s="4" t="s">
        <v>189</v>
      </c>
      <c r="B173" s="4"/>
      <c r="C173" s="4" t="s">
        <v>61</v>
      </c>
      <c r="D173" s="8" t="n">
        <v>324.05926</v>
      </c>
      <c r="E173" s="9" t="n">
        <v>9.915</v>
      </c>
      <c r="F173" s="10" t="n">
        <v>2800258.94519114</v>
      </c>
      <c r="G173" s="10" t="n">
        <v>718584.314060834</v>
      </c>
      <c r="H173" s="10" t="n">
        <v>3683635.64378317</v>
      </c>
      <c r="I173" s="10" t="n">
        <v>1851005.55446901</v>
      </c>
      <c r="J173" s="10" t="n">
        <v>3241947.29448716</v>
      </c>
      <c r="K173" s="11" t="n">
        <v>1.31546250396202</v>
      </c>
      <c r="L173" s="11" t="n">
        <v>0.39557012640649</v>
      </c>
      <c r="M173" s="11" t="n">
        <v>0.325808941643954</v>
      </c>
      <c r="N173" s="11" t="n">
        <v>0.196340350797937</v>
      </c>
      <c r="O173" s="12" t="n">
        <v>0.314713080171559</v>
      </c>
      <c r="P173" s="12" t="n">
        <v>0.662438021899575</v>
      </c>
      <c r="Q173" s="4" t="n">
        <f aca="false">RANK(N173,$N$7:$N$307,0)</f>
        <v>167</v>
      </c>
      <c r="R173" s="4" t="n">
        <f aca="false">RANK(O173,$O$7:$O$307,1)</f>
        <v>143</v>
      </c>
      <c r="S173" s="4" t="n">
        <f aca="false">RANK(J173,$J$7:$J$307,0)</f>
        <v>149</v>
      </c>
      <c r="T173" s="4" t="str">
        <f aca="false">IF(O173&lt;0.05,"YES","no")</f>
        <v>no</v>
      </c>
      <c r="U173" s="4" t="str">
        <f aca="false">IF(P173&lt;0.05,"YES","no")</f>
        <v>no</v>
      </c>
      <c r="V173" s="4" t="str">
        <f aca="false">IF(N173&gt;1,"YES","no")</f>
        <v>no</v>
      </c>
    </row>
    <row r="174" customFormat="false" ht="15" hidden="false" customHeight="false" outlineLevel="0" collapsed="false">
      <c r="A174" s="4" t="s">
        <v>185</v>
      </c>
      <c r="B174" s="4"/>
      <c r="C174" s="4" t="s">
        <v>61</v>
      </c>
      <c r="D174" s="8" t="n">
        <v>134.04474</v>
      </c>
      <c r="E174" s="9" t="n">
        <v>9.92</v>
      </c>
      <c r="F174" s="10" t="n">
        <v>13736959.3610632</v>
      </c>
      <c r="G174" s="10" t="n">
        <v>3802243.23768484</v>
      </c>
      <c r="H174" s="10" t="n">
        <v>14486050.5251565</v>
      </c>
      <c r="I174" s="10" t="n">
        <v>6797479.16551001</v>
      </c>
      <c r="J174" s="10" t="n">
        <v>14111504.9431099</v>
      </c>
      <c r="K174" s="11" t="n">
        <v>1.05453107521134</v>
      </c>
      <c r="L174" s="11" t="n">
        <v>0.0766016094917088</v>
      </c>
      <c r="M174" s="11" t="n">
        <v>0.0742928993202426</v>
      </c>
      <c r="N174" s="11" t="n">
        <v>0.192067635423503</v>
      </c>
      <c r="O174" s="12" t="n">
        <v>0.819783762270588</v>
      </c>
      <c r="P174" s="12" t="n">
        <v>0.923481941786446</v>
      </c>
      <c r="Q174" s="4" t="n">
        <f aca="false">RANK(N174,$N$7:$N$307,0)</f>
        <v>168</v>
      </c>
      <c r="R174" s="4" t="n">
        <f aca="false">RANK(O174,$O$7:$O$307,1)</f>
        <v>265</v>
      </c>
      <c r="S174" s="4" t="n">
        <f aca="false">RANK(J174,$J$7:$J$307,0)</f>
        <v>87</v>
      </c>
      <c r="T174" s="4" t="str">
        <f aca="false">IF(O174&lt;0.05,"YES","no")</f>
        <v>no</v>
      </c>
      <c r="U174" s="4" t="str">
        <f aca="false">IF(P174&lt;0.05,"YES","no")</f>
        <v>no</v>
      </c>
      <c r="V174" s="4" t="str">
        <f aca="false">IF(N174&gt;1,"YES","no")</f>
        <v>no</v>
      </c>
    </row>
    <row r="175" customFormat="false" ht="15" hidden="false" customHeight="false" outlineLevel="0" collapsed="false">
      <c r="A175" s="4" t="s">
        <v>256</v>
      </c>
      <c r="B175" s="4"/>
      <c r="C175" s="4" t="s">
        <v>61</v>
      </c>
      <c r="D175" s="8" t="n">
        <v>137.02435</v>
      </c>
      <c r="E175" s="9" t="n">
        <v>4.578</v>
      </c>
      <c r="F175" s="10" t="n">
        <v>754329.698569727</v>
      </c>
      <c r="G175" s="10" t="n">
        <v>272562.155963098</v>
      </c>
      <c r="H175" s="10" t="n">
        <v>1523211.39591095</v>
      </c>
      <c r="I175" s="10" t="n">
        <v>1432529.7504996</v>
      </c>
      <c r="J175" s="10" t="n">
        <v>1138770.54724034</v>
      </c>
      <c r="K175" s="11" t="n">
        <v>2.01929129768998</v>
      </c>
      <c r="L175" s="11" t="n">
        <v>1.01384904510175</v>
      </c>
      <c r="M175" s="11" t="n">
        <v>0.378102540843011</v>
      </c>
      <c r="N175" s="11" t="n">
        <v>0.191796874908817</v>
      </c>
      <c r="O175" s="12" t="n">
        <v>0.249390817749729</v>
      </c>
      <c r="P175" s="12" t="n">
        <v>0.651482536722943</v>
      </c>
      <c r="Q175" s="4" t="n">
        <f aca="false">RANK(N175,$N$7:$N$307,0)</f>
        <v>169</v>
      </c>
      <c r="R175" s="4" t="n">
        <f aca="false">RANK(O175,$O$7:$O$307,1)</f>
        <v>114</v>
      </c>
      <c r="S175" s="4" t="n">
        <f aca="false">RANK(J175,$J$7:$J$307,0)</f>
        <v>207</v>
      </c>
      <c r="T175" s="4" t="str">
        <f aca="false">IF(O175&lt;0.05,"YES","no")</f>
        <v>no</v>
      </c>
      <c r="U175" s="4" t="str">
        <f aca="false">IF(P175&lt;0.05,"YES","no")</f>
        <v>no</v>
      </c>
      <c r="V175" s="4" t="str">
        <f aca="false">IF(N175&gt;1,"YES","no")</f>
        <v>no</v>
      </c>
    </row>
    <row r="176" customFormat="false" ht="15" hidden="false" customHeight="false" outlineLevel="0" collapsed="false">
      <c r="A176" s="4" t="s">
        <v>317</v>
      </c>
      <c r="B176" s="4"/>
      <c r="C176" s="4" t="s">
        <v>72</v>
      </c>
      <c r="D176" s="8" t="n">
        <v>347.0393</v>
      </c>
      <c r="E176" s="9" t="n">
        <v>10.1</v>
      </c>
      <c r="F176" s="10" t="n">
        <v>1799670.86920072</v>
      </c>
      <c r="G176" s="10" t="n">
        <v>1315231.6251192</v>
      </c>
      <c r="H176" s="10" t="n">
        <v>2426048.8233283</v>
      </c>
      <c r="I176" s="10" t="n">
        <v>1245639.66398569</v>
      </c>
      <c r="J176" s="10" t="n">
        <v>2112859.84626451</v>
      </c>
      <c r="K176" s="11" t="n">
        <v>1.34805139364498</v>
      </c>
      <c r="L176" s="11" t="n">
        <v>0.430875499445106</v>
      </c>
      <c r="M176" s="11" t="n">
        <v>0.258722634739944</v>
      </c>
      <c r="N176" s="11" t="n">
        <v>0.190524707507133</v>
      </c>
      <c r="O176" s="12" t="n">
        <v>0.416866539064539</v>
      </c>
      <c r="P176" s="12" t="n">
        <v>0.769796492382982</v>
      </c>
      <c r="Q176" s="4" t="n">
        <f aca="false">RANK(N176,$N$7:$N$307,0)</f>
        <v>170</v>
      </c>
      <c r="R176" s="4" t="n">
        <f aca="false">RANK(O176,$O$7:$O$307,1)</f>
        <v>163</v>
      </c>
      <c r="S176" s="4" t="n">
        <f aca="false">RANK(J176,$J$7:$J$307,0)</f>
        <v>171</v>
      </c>
      <c r="T176" s="4" t="str">
        <f aca="false">IF(O176&lt;0.05,"YES","no")</f>
        <v>no</v>
      </c>
      <c r="U176" s="4" t="str">
        <f aca="false">IF(P176&lt;0.05,"YES","no")</f>
        <v>no</v>
      </c>
      <c r="V176" s="4" t="str">
        <f aca="false">IF(N176&gt;1,"YES","no")</f>
        <v>no</v>
      </c>
    </row>
    <row r="177" customFormat="false" ht="15" hidden="false" customHeight="false" outlineLevel="0" collapsed="false">
      <c r="A177" s="4" t="s">
        <v>184</v>
      </c>
      <c r="B177" s="4"/>
      <c r="C177" s="4" t="s">
        <v>72</v>
      </c>
      <c r="D177" s="8" t="n">
        <v>106.08619</v>
      </c>
      <c r="E177" s="9" t="n">
        <v>6.88</v>
      </c>
      <c r="F177" s="10" t="n">
        <v>7276926.41937222</v>
      </c>
      <c r="G177" s="10" t="n">
        <v>1045980.37998906</v>
      </c>
      <c r="H177" s="10" t="n">
        <v>7307011.2211544</v>
      </c>
      <c r="I177" s="10" t="n">
        <v>2147452.11802192</v>
      </c>
      <c r="J177" s="10" t="n">
        <v>7291968.82026331</v>
      </c>
      <c r="K177" s="11" t="n">
        <v>1.00413427318739</v>
      </c>
      <c r="L177" s="11" t="n">
        <v>0.00595219987548937</v>
      </c>
      <c r="M177" s="11" t="n">
        <v>0.00975552125259939</v>
      </c>
      <c r="N177" s="11" t="n">
        <v>0.189455276369783</v>
      </c>
      <c r="O177" s="12" t="n">
        <v>0.976220895002614</v>
      </c>
      <c r="P177" s="12" t="n">
        <v>0.989368651164266</v>
      </c>
      <c r="Q177" s="4" t="n">
        <f aca="false">RANK(N177,$N$7:$N$307,0)</f>
        <v>171</v>
      </c>
      <c r="R177" s="4" t="n">
        <f aca="false">RANK(O177,$O$7:$O$307,1)</f>
        <v>297</v>
      </c>
      <c r="S177" s="4" t="n">
        <f aca="false">RANK(J177,$J$7:$J$307,0)</f>
        <v>111</v>
      </c>
      <c r="T177" s="4" t="str">
        <f aca="false">IF(O177&lt;0.05,"YES","no")</f>
        <v>no</v>
      </c>
      <c r="U177" s="4" t="str">
        <f aca="false">IF(P177&lt;0.05,"YES","no")</f>
        <v>no</v>
      </c>
      <c r="V177" s="4" t="str">
        <f aca="false">IF(N177&gt;1,"YES","no")</f>
        <v>no</v>
      </c>
    </row>
    <row r="178" customFormat="false" ht="15" hidden="false" customHeight="false" outlineLevel="0" collapsed="false">
      <c r="A178" s="4" t="s">
        <v>404</v>
      </c>
      <c r="B178" s="4"/>
      <c r="C178" s="4" t="s">
        <v>72</v>
      </c>
      <c r="D178" s="8" t="n">
        <v>243.02641</v>
      </c>
      <c r="E178" s="9" t="n">
        <v>9.682</v>
      </c>
      <c r="F178" s="10" t="n">
        <v>612230.795404076</v>
      </c>
      <c r="G178" s="10" t="n">
        <v>810430.887837459</v>
      </c>
      <c r="H178" s="10" t="n">
        <v>117466.544536805</v>
      </c>
      <c r="I178" s="10" t="n">
        <v>29142.3620671825</v>
      </c>
      <c r="J178" s="10" t="n">
        <v>364848.66997044</v>
      </c>
      <c r="K178" s="11" t="n">
        <v>0.191866442228337</v>
      </c>
      <c r="L178" s="11" t="n">
        <v>-2.38182569114109</v>
      </c>
      <c r="M178" s="11" t="n">
        <v>0.427272400130647</v>
      </c>
      <c r="N178" s="11" t="n">
        <v>0.189209576742796</v>
      </c>
      <c r="O178" s="12" t="n">
        <v>0.19514669848066</v>
      </c>
      <c r="P178" s="12" t="n">
        <v>0.599379145333456</v>
      </c>
      <c r="Q178" s="4" t="n">
        <f aca="false">RANK(N178,$N$7:$N$307,0)</f>
        <v>172</v>
      </c>
      <c r="R178" s="4" t="n">
        <f aca="false">RANK(O178,$O$7:$O$307,1)</f>
        <v>98</v>
      </c>
      <c r="S178" s="4" t="n">
        <f aca="false">RANK(J178,$J$7:$J$307,0)</f>
        <v>255</v>
      </c>
      <c r="T178" s="4" t="str">
        <f aca="false">IF(O178&lt;0.05,"YES","no")</f>
        <v>no</v>
      </c>
      <c r="U178" s="4" t="str">
        <f aca="false">IF(P178&lt;0.05,"YES","no")</f>
        <v>no</v>
      </c>
      <c r="V178" s="4" t="str">
        <f aca="false">IF(N178&gt;1,"YES","no")</f>
        <v>no</v>
      </c>
    </row>
    <row r="179" customFormat="false" ht="15" hidden="false" customHeight="false" outlineLevel="0" collapsed="false">
      <c r="A179" s="4" t="s">
        <v>359</v>
      </c>
      <c r="B179" s="4"/>
      <c r="C179" s="4" t="s">
        <v>72</v>
      </c>
      <c r="D179" s="8" t="n">
        <v>588.07542</v>
      </c>
      <c r="E179" s="9" t="n">
        <v>9.154</v>
      </c>
      <c r="F179" s="10" t="n">
        <v>405181.329516669</v>
      </c>
      <c r="G179" s="10" t="n">
        <v>223742.87255435</v>
      </c>
      <c r="H179" s="10" t="n">
        <v>804214.391892142</v>
      </c>
      <c r="I179" s="10" t="n">
        <v>352580.723273078</v>
      </c>
      <c r="J179" s="10" t="n">
        <v>604697.860704405</v>
      </c>
      <c r="K179" s="11" t="n">
        <v>1.98482588734153</v>
      </c>
      <c r="L179" s="11" t="n">
        <v>0.989012456997399</v>
      </c>
      <c r="M179" s="11" t="n">
        <v>0.594942015454371</v>
      </c>
      <c r="N179" s="11" t="n">
        <v>0.187191922212316</v>
      </c>
      <c r="O179" s="12" t="n">
        <v>0.0456806493796428</v>
      </c>
      <c r="P179" s="12" t="n">
        <v>0.478364863336053</v>
      </c>
      <c r="Q179" s="4" t="n">
        <f aca="false">RANK(N179,$N$7:$N$307,0)</f>
        <v>173</v>
      </c>
      <c r="R179" s="4" t="n">
        <f aca="false">RANK(O179,$O$7:$O$307,1)</f>
        <v>27</v>
      </c>
      <c r="S179" s="4" t="n">
        <f aca="false">RANK(J179,$J$7:$J$307,0)</f>
        <v>235</v>
      </c>
      <c r="T179" s="4" t="str">
        <f aca="false">IF(O179&lt;0.05,"YES","no")</f>
        <v>YES</v>
      </c>
      <c r="U179" s="4" t="str">
        <f aca="false">IF(P179&lt;0.05,"YES","no")</f>
        <v>no</v>
      </c>
      <c r="V179" s="4" t="str">
        <f aca="false">IF(N179&gt;1,"YES","no")</f>
        <v>no</v>
      </c>
    </row>
    <row r="180" customFormat="false" ht="15" hidden="false" customHeight="false" outlineLevel="0" collapsed="false">
      <c r="A180" s="4" t="s">
        <v>370</v>
      </c>
      <c r="B180" s="4"/>
      <c r="C180" s="4" t="s">
        <v>72</v>
      </c>
      <c r="D180" s="8" t="n">
        <v>294.14495</v>
      </c>
      <c r="E180" s="9" t="n">
        <v>6.854</v>
      </c>
      <c r="F180" s="10" t="n">
        <v>383296.890154157</v>
      </c>
      <c r="G180" s="10" t="n">
        <v>200031.806388007</v>
      </c>
      <c r="H180" s="10" t="n">
        <v>818127.573230112</v>
      </c>
      <c r="I180" s="10" t="n">
        <v>403660.603319951</v>
      </c>
      <c r="J180" s="10" t="n">
        <v>600712.231692135</v>
      </c>
      <c r="K180" s="11" t="n">
        <v>2.13444876346654</v>
      </c>
      <c r="L180" s="11" t="n">
        <v>1.09386353172122</v>
      </c>
      <c r="M180" s="11" t="n">
        <v>0.598793005203228</v>
      </c>
      <c r="N180" s="11" t="n">
        <v>0.180693583447888</v>
      </c>
      <c r="O180" s="12" t="n">
        <v>0.048507331123832</v>
      </c>
      <c r="P180" s="12" t="n">
        <v>0.478364863336053</v>
      </c>
      <c r="Q180" s="4" t="n">
        <f aca="false">RANK(N180,$N$7:$N$307,0)</f>
        <v>174</v>
      </c>
      <c r="R180" s="4" t="n">
        <f aca="false">RANK(O180,$O$7:$O$307,1)</f>
        <v>29</v>
      </c>
      <c r="S180" s="4" t="n">
        <f aca="false">RANK(J180,$J$7:$J$307,0)</f>
        <v>236</v>
      </c>
      <c r="T180" s="4" t="str">
        <f aca="false">IF(O180&lt;0.05,"YES","no")</f>
        <v>YES</v>
      </c>
      <c r="U180" s="4" t="str">
        <f aca="false">IF(P180&lt;0.05,"YES","no")</f>
        <v>no</v>
      </c>
      <c r="V180" s="4" t="str">
        <f aca="false">IF(N180&gt;1,"YES","no")</f>
        <v>no</v>
      </c>
    </row>
    <row r="181" customFormat="false" ht="15" hidden="false" customHeight="false" outlineLevel="0" collapsed="false">
      <c r="A181" s="4" t="s">
        <v>327</v>
      </c>
      <c r="B181" s="4"/>
      <c r="C181" s="4" t="s">
        <v>72</v>
      </c>
      <c r="D181" s="8" t="n">
        <v>275.01716</v>
      </c>
      <c r="E181" s="9" t="n">
        <v>10.27</v>
      </c>
      <c r="F181" s="10" t="n">
        <v>842173.351334069</v>
      </c>
      <c r="G181" s="10" t="n">
        <v>381476.451278174</v>
      </c>
      <c r="H181" s="10" t="n">
        <v>505817.08083877</v>
      </c>
      <c r="I181" s="10" t="n">
        <v>215779.328874398</v>
      </c>
      <c r="J181" s="10" t="n">
        <v>673995.216086419</v>
      </c>
      <c r="K181" s="11" t="n">
        <v>0.600609221412095</v>
      </c>
      <c r="L181" s="11" t="n">
        <v>-0.735501469503839</v>
      </c>
      <c r="M181" s="11" t="n">
        <v>0.510994946600116</v>
      </c>
      <c r="N181" s="11" t="n">
        <v>0.179750116373261</v>
      </c>
      <c r="O181" s="12" t="n">
        <v>0.0973798062056786</v>
      </c>
      <c r="P181" s="12" t="n">
        <v>0.553043805054892</v>
      </c>
      <c r="Q181" s="4" t="n">
        <f aca="false">RANK(N181,$N$7:$N$307,0)</f>
        <v>175</v>
      </c>
      <c r="R181" s="4" t="n">
        <f aca="false">RANK(O181,$O$7:$O$307,1)</f>
        <v>53</v>
      </c>
      <c r="S181" s="4" t="n">
        <f aca="false">RANK(J181,$J$7:$J$307,0)</f>
        <v>231</v>
      </c>
      <c r="T181" s="4" t="str">
        <f aca="false">IF(O181&lt;0.05,"YES","no")</f>
        <v>no</v>
      </c>
      <c r="U181" s="4" t="str">
        <f aca="false">IF(P181&lt;0.05,"YES","no")</f>
        <v>no</v>
      </c>
      <c r="V181" s="4" t="str">
        <f aca="false">IF(N181&gt;1,"YES","no")</f>
        <v>no</v>
      </c>
    </row>
    <row r="182" customFormat="false" ht="15" hidden="false" customHeight="false" outlineLevel="0" collapsed="false">
      <c r="A182" s="4" t="s">
        <v>321</v>
      </c>
      <c r="B182" s="4"/>
      <c r="C182" s="4" t="s">
        <v>72</v>
      </c>
      <c r="D182" s="8" t="n">
        <v>455.0973</v>
      </c>
      <c r="E182" s="9" t="n">
        <v>8.139</v>
      </c>
      <c r="F182" s="10" t="n">
        <v>2133166.35102566</v>
      </c>
      <c r="G182" s="10" t="n">
        <v>798987.316572047</v>
      </c>
      <c r="H182" s="10" t="n">
        <v>2661046.09985795</v>
      </c>
      <c r="I182" s="10" t="n">
        <v>1094451.0166333</v>
      </c>
      <c r="J182" s="10" t="n">
        <v>2397106.2254418</v>
      </c>
      <c r="K182" s="11" t="n">
        <v>1.24746300192597</v>
      </c>
      <c r="L182" s="11" t="n">
        <v>0.31899702780345</v>
      </c>
      <c r="M182" s="11" t="n">
        <v>0.288886342917905</v>
      </c>
      <c r="N182" s="11" t="n">
        <v>0.178909723366978</v>
      </c>
      <c r="O182" s="12" t="n">
        <v>0.364496772650812</v>
      </c>
      <c r="P182" s="12" t="n">
        <v>0.731538085922673</v>
      </c>
      <c r="Q182" s="4" t="n">
        <f aca="false">RANK(N182,$N$7:$N$307,0)</f>
        <v>176</v>
      </c>
      <c r="R182" s="4" t="n">
        <f aca="false">RANK(O182,$O$7:$O$307,1)</f>
        <v>149</v>
      </c>
      <c r="S182" s="4" t="n">
        <f aca="false">RANK(J182,$J$7:$J$307,0)</f>
        <v>166</v>
      </c>
      <c r="T182" s="4" t="str">
        <f aca="false">IF(O182&lt;0.05,"YES","no")</f>
        <v>no</v>
      </c>
      <c r="U182" s="4" t="str">
        <f aca="false">IF(P182&lt;0.05,"YES","no")</f>
        <v>no</v>
      </c>
      <c r="V182" s="4" t="str">
        <f aca="false">IF(N182&gt;1,"YES","no")</f>
        <v>no</v>
      </c>
    </row>
    <row r="183" customFormat="false" ht="15" hidden="false" customHeight="false" outlineLevel="0" collapsed="false">
      <c r="A183" s="4" t="s">
        <v>384</v>
      </c>
      <c r="B183" s="4"/>
      <c r="C183" s="4" t="s">
        <v>72</v>
      </c>
      <c r="D183" s="8" t="n">
        <v>253.11819</v>
      </c>
      <c r="E183" s="9" t="n">
        <v>6.829</v>
      </c>
      <c r="F183" s="10" t="n">
        <v>826792.933426776</v>
      </c>
      <c r="G183" s="10" t="n">
        <v>675463.071953689</v>
      </c>
      <c r="H183" s="10" t="n">
        <v>1419682.749271</v>
      </c>
      <c r="I183" s="10" t="n">
        <v>743784.562761881</v>
      </c>
      <c r="J183" s="10" t="n">
        <v>1123237.84134889</v>
      </c>
      <c r="K183" s="11" t="n">
        <v>1.71709589169672</v>
      </c>
      <c r="L183" s="11" t="n">
        <v>0.779970609294832</v>
      </c>
      <c r="M183" s="11" t="n">
        <v>0.415721645397826</v>
      </c>
      <c r="N183" s="11" t="n">
        <v>0.17591545467943</v>
      </c>
      <c r="O183" s="12" t="n">
        <v>0.179205445335763</v>
      </c>
      <c r="P183" s="12" t="n">
        <v>0.59081559788972</v>
      </c>
      <c r="Q183" s="4" t="n">
        <f aca="false">RANK(N183,$N$7:$N$307,0)</f>
        <v>177</v>
      </c>
      <c r="R183" s="4" t="n">
        <f aca="false">RANK(O183,$O$7:$O$307,1)</f>
        <v>90</v>
      </c>
      <c r="S183" s="4" t="n">
        <f aca="false">RANK(J183,$J$7:$J$307,0)</f>
        <v>209</v>
      </c>
      <c r="T183" s="4" t="str">
        <f aca="false">IF(O183&lt;0.05,"YES","no")</f>
        <v>no</v>
      </c>
      <c r="U183" s="4" t="str">
        <f aca="false">IF(P183&lt;0.05,"YES","no")</f>
        <v>no</v>
      </c>
      <c r="V183" s="4" t="str">
        <f aca="false">IF(N183&gt;1,"YES","no")</f>
        <v>no</v>
      </c>
    </row>
    <row r="184" customFormat="false" ht="15" hidden="false" customHeight="false" outlineLevel="0" collapsed="false">
      <c r="A184" s="4" t="s">
        <v>229</v>
      </c>
      <c r="B184" s="4"/>
      <c r="C184" s="4" t="s">
        <v>61</v>
      </c>
      <c r="D184" s="8" t="n">
        <v>259.02211</v>
      </c>
      <c r="E184" s="9" t="n">
        <v>10.095</v>
      </c>
      <c r="F184" s="10" t="n">
        <v>24720871.6875501</v>
      </c>
      <c r="G184" s="10" t="n">
        <v>9695298.29707163</v>
      </c>
      <c r="H184" s="10" t="n">
        <v>23276811.1772326</v>
      </c>
      <c r="I184" s="10" t="n">
        <v>17052136.2484975</v>
      </c>
      <c r="J184" s="10" t="n">
        <v>23998841.4323914</v>
      </c>
      <c r="K184" s="11" t="n">
        <v>0.941585372531797</v>
      </c>
      <c r="L184" s="11" t="n">
        <v>-0.0868361865115928</v>
      </c>
      <c r="M184" s="11" t="n">
        <v>0.0569315629157058</v>
      </c>
      <c r="N184" s="11" t="n">
        <v>0.175688167613106</v>
      </c>
      <c r="O184" s="12" t="n">
        <v>0.861421485425935</v>
      </c>
      <c r="P184" s="12" t="n">
        <v>0.92602809683288</v>
      </c>
      <c r="Q184" s="4" t="n">
        <f aca="false">RANK(N184,$N$7:$N$307,0)</f>
        <v>178</v>
      </c>
      <c r="R184" s="4" t="n">
        <f aca="false">RANK(O184,$O$7:$O$307,1)</f>
        <v>280</v>
      </c>
      <c r="S184" s="4" t="n">
        <f aca="false">RANK(J184,$J$7:$J$307,0)</f>
        <v>68</v>
      </c>
      <c r="T184" s="4" t="str">
        <f aca="false">IF(O184&lt;0.05,"YES","no")</f>
        <v>no</v>
      </c>
      <c r="U184" s="4" t="str">
        <f aca="false">IF(P184&lt;0.05,"YES","no")</f>
        <v>no</v>
      </c>
      <c r="V184" s="4" t="str">
        <f aca="false">IF(N184&gt;1,"YES","no")</f>
        <v>no</v>
      </c>
    </row>
    <row r="185" customFormat="false" ht="15" hidden="false" customHeight="false" outlineLevel="0" collapsed="false">
      <c r="A185" s="4" t="s">
        <v>313</v>
      </c>
      <c r="B185" s="4"/>
      <c r="C185" s="4" t="s">
        <v>72</v>
      </c>
      <c r="D185" s="8" t="n">
        <v>170.09235</v>
      </c>
      <c r="E185" s="9" t="n">
        <v>7.981</v>
      </c>
      <c r="F185" s="10" t="n">
        <v>3476289.55022924</v>
      </c>
      <c r="G185" s="10" t="n">
        <v>1043505.3645849</v>
      </c>
      <c r="H185" s="10" t="n">
        <v>3921654.31775129</v>
      </c>
      <c r="I185" s="10" t="n">
        <v>1296430.76220485</v>
      </c>
      <c r="J185" s="10" t="n">
        <v>3698971.93399027</v>
      </c>
      <c r="K185" s="11" t="n">
        <v>1.12811498037978</v>
      </c>
      <c r="L185" s="11" t="n">
        <v>0.17391411841922</v>
      </c>
      <c r="M185" s="11" t="n">
        <v>0.202975826570302</v>
      </c>
      <c r="N185" s="11" t="n">
        <v>0.172846727181831</v>
      </c>
      <c r="O185" s="12" t="n">
        <v>0.527591789534977</v>
      </c>
      <c r="P185" s="12" t="n">
        <v>0.822824500777348</v>
      </c>
      <c r="Q185" s="4" t="n">
        <f aca="false">RANK(N185,$N$7:$N$307,0)</f>
        <v>179</v>
      </c>
      <c r="R185" s="4" t="n">
        <f aca="false">RANK(O185,$O$7:$O$307,1)</f>
        <v>193</v>
      </c>
      <c r="S185" s="4" t="n">
        <f aca="false">RANK(J185,$J$7:$J$307,0)</f>
        <v>143</v>
      </c>
      <c r="T185" s="4" t="str">
        <f aca="false">IF(O185&lt;0.05,"YES","no")</f>
        <v>no</v>
      </c>
      <c r="U185" s="4" t="str">
        <f aca="false">IF(P185&lt;0.05,"YES","no")</f>
        <v>no</v>
      </c>
      <c r="V185" s="4" t="str">
        <f aca="false">IF(N185&gt;1,"YES","no")</f>
        <v>no</v>
      </c>
    </row>
    <row r="186" customFormat="false" ht="15" hidden="false" customHeight="false" outlineLevel="0" collapsed="false">
      <c r="A186" s="4" t="s">
        <v>403</v>
      </c>
      <c r="B186" s="4"/>
      <c r="C186" s="4" t="s">
        <v>72</v>
      </c>
      <c r="D186" s="8" t="n">
        <v>159.07763</v>
      </c>
      <c r="E186" s="9" t="n">
        <v>8.636</v>
      </c>
      <c r="F186" s="10" t="n">
        <v>630088.198812878</v>
      </c>
      <c r="G186" s="10" t="n">
        <v>337694.205744769</v>
      </c>
      <c r="H186" s="10" t="n">
        <v>1096954.76925666</v>
      </c>
      <c r="I186" s="10" t="n">
        <v>524064.915319985</v>
      </c>
      <c r="J186" s="10" t="n">
        <v>863521.484034771</v>
      </c>
      <c r="K186" s="11" t="n">
        <v>1.74095431611541</v>
      </c>
      <c r="L186" s="11" t="n">
        <v>0.799878346137507</v>
      </c>
      <c r="M186" s="11" t="n">
        <v>0.501755714040559</v>
      </c>
      <c r="N186" s="11" t="n">
        <v>0.171743519200256</v>
      </c>
      <c r="O186" s="12" t="n">
        <v>0.101588724191881</v>
      </c>
      <c r="P186" s="12" t="n">
        <v>0.562894656557639</v>
      </c>
      <c r="Q186" s="4" t="n">
        <f aca="false">RANK(N186,$N$7:$N$307,0)</f>
        <v>180</v>
      </c>
      <c r="R186" s="4" t="n">
        <f aca="false">RANK(O186,$O$7:$O$307,1)</f>
        <v>54</v>
      </c>
      <c r="S186" s="4" t="n">
        <f aca="false">RANK(J186,$J$7:$J$307,0)</f>
        <v>220</v>
      </c>
      <c r="T186" s="4" t="str">
        <f aca="false">IF(O186&lt;0.05,"YES","no")</f>
        <v>no</v>
      </c>
      <c r="U186" s="4" t="str">
        <f aca="false">IF(P186&lt;0.05,"YES","no")</f>
        <v>no</v>
      </c>
      <c r="V186" s="4" t="str">
        <f aca="false">IF(N186&gt;1,"YES","no")</f>
        <v>no</v>
      </c>
    </row>
    <row r="187" customFormat="false" ht="15" hidden="false" customHeight="false" outlineLevel="0" collapsed="false">
      <c r="A187" s="4" t="s">
        <v>169</v>
      </c>
      <c r="B187" s="4"/>
      <c r="C187" s="4" t="s">
        <v>72</v>
      </c>
      <c r="D187" s="8" t="n">
        <v>102.05488</v>
      </c>
      <c r="E187" s="9" t="n">
        <v>10.87</v>
      </c>
      <c r="F187" s="10" t="n">
        <v>6302725.48717086</v>
      </c>
      <c r="G187" s="10" t="n">
        <v>1708600.6115898</v>
      </c>
      <c r="H187" s="10" t="n">
        <v>6111177.71892512</v>
      </c>
      <c r="I187" s="10" t="n">
        <v>1781128.32980858</v>
      </c>
      <c r="J187" s="10" t="n">
        <v>6206951.60304799</v>
      </c>
      <c r="K187" s="11" t="n">
        <v>0.969608740117965</v>
      </c>
      <c r="L187" s="11" t="n">
        <v>-0.0445253914683982</v>
      </c>
      <c r="M187" s="11" t="n">
        <v>0.0600065884649199</v>
      </c>
      <c r="N187" s="11" t="n">
        <v>0.170488034976717</v>
      </c>
      <c r="O187" s="12" t="n">
        <v>0.853040687339745</v>
      </c>
      <c r="P187" s="12" t="n">
        <v>0.923481941786446</v>
      </c>
      <c r="Q187" s="4" t="n">
        <f aca="false">RANK(N187,$N$7:$N$307,0)</f>
        <v>181</v>
      </c>
      <c r="R187" s="4" t="n">
        <f aca="false">RANK(O187,$O$7:$O$307,1)</f>
        <v>277</v>
      </c>
      <c r="S187" s="4" t="n">
        <f aca="false">RANK(J187,$J$7:$J$307,0)</f>
        <v>118</v>
      </c>
      <c r="T187" s="4" t="str">
        <f aca="false">IF(O187&lt;0.05,"YES","no")</f>
        <v>no</v>
      </c>
      <c r="U187" s="4" t="str">
        <f aca="false">IF(P187&lt;0.05,"YES","no")</f>
        <v>no</v>
      </c>
      <c r="V187" s="4" t="str">
        <f aca="false">IF(N187&gt;1,"YES","no")</f>
        <v>no</v>
      </c>
    </row>
    <row r="188" customFormat="false" ht="15" hidden="false" customHeight="false" outlineLevel="0" collapsed="false">
      <c r="A188" s="4" t="s">
        <v>245</v>
      </c>
      <c r="B188" s="4"/>
      <c r="C188" s="4" t="s">
        <v>61</v>
      </c>
      <c r="D188" s="8" t="n">
        <v>191.01976</v>
      </c>
      <c r="E188" s="9" t="n">
        <v>11.158</v>
      </c>
      <c r="F188" s="10" t="n">
        <v>4111539.07106849</v>
      </c>
      <c r="G188" s="10" t="n">
        <v>1090821.96456351</v>
      </c>
      <c r="H188" s="10" t="n">
        <v>3877757.82688669</v>
      </c>
      <c r="I188" s="10" t="n">
        <v>1740882.52795297</v>
      </c>
      <c r="J188" s="10" t="n">
        <v>3994648.44897759</v>
      </c>
      <c r="K188" s="11" t="n">
        <v>0.943140210967022</v>
      </c>
      <c r="L188" s="11" t="n">
        <v>-0.0844558312721882</v>
      </c>
      <c r="M188" s="11" t="n">
        <v>0.0878050280881094</v>
      </c>
      <c r="N188" s="11" t="n">
        <v>0.170235183747087</v>
      </c>
      <c r="O188" s="12" t="n">
        <v>0.787182330731502</v>
      </c>
      <c r="P188" s="12" t="n">
        <v>0.919859927862235</v>
      </c>
      <c r="Q188" s="4" t="n">
        <f aca="false">RANK(N188,$N$7:$N$307,0)</f>
        <v>182</v>
      </c>
      <c r="R188" s="4" t="n">
        <f aca="false">RANK(O188,$O$7:$O$307,1)</f>
        <v>257</v>
      </c>
      <c r="S188" s="4" t="n">
        <f aca="false">RANK(J188,$J$7:$J$307,0)</f>
        <v>138</v>
      </c>
      <c r="T188" s="4" t="str">
        <f aca="false">IF(O188&lt;0.05,"YES","no")</f>
        <v>no</v>
      </c>
      <c r="U188" s="4" t="str">
        <f aca="false">IF(P188&lt;0.05,"YES","no")</f>
        <v>no</v>
      </c>
      <c r="V188" s="4" t="str">
        <f aca="false">IF(N188&gt;1,"YES","no")</f>
        <v>no</v>
      </c>
    </row>
    <row r="189" customFormat="false" ht="15" hidden="false" customHeight="false" outlineLevel="0" collapsed="false">
      <c r="A189" s="4" t="s">
        <v>292</v>
      </c>
      <c r="B189" s="4"/>
      <c r="C189" s="4" t="s">
        <v>72</v>
      </c>
      <c r="D189" s="8" t="n">
        <v>233.14949</v>
      </c>
      <c r="E189" s="9" t="n">
        <v>6.823</v>
      </c>
      <c r="F189" s="10" t="n">
        <v>1412251.49548757</v>
      </c>
      <c r="G189" s="10" t="n">
        <v>832149.096370841</v>
      </c>
      <c r="H189" s="10" t="n">
        <v>2068617.59413468</v>
      </c>
      <c r="I189" s="10" t="n">
        <v>1217611.63600961</v>
      </c>
      <c r="J189" s="10" t="n">
        <v>1740434.54481112</v>
      </c>
      <c r="K189" s="11" t="n">
        <v>1.46476573099362</v>
      </c>
      <c r="L189" s="11" t="n">
        <v>0.55066994399236</v>
      </c>
      <c r="M189" s="11" t="n">
        <v>0.32591362322431</v>
      </c>
      <c r="N189" s="11" t="n">
        <v>0.169478286718019</v>
      </c>
      <c r="O189" s="12" t="n">
        <v>0.304486637229032</v>
      </c>
      <c r="P189" s="12" t="n">
        <v>0.652060151640156</v>
      </c>
      <c r="Q189" s="4" t="n">
        <f aca="false">RANK(N189,$N$7:$N$307,0)</f>
        <v>183</v>
      </c>
      <c r="R189" s="4" t="n">
        <f aca="false">RANK(O189,$O$7:$O$307,1)</f>
        <v>140</v>
      </c>
      <c r="S189" s="4" t="n">
        <f aca="false">RANK(J189,$J$7:$J$307,0)</f>
        <v>187</v>
      </c>
      <c r="T189" s="4" t="str">
        <f aca="false">IF(O189&lt;0.05,"YES","no")</f>
        <v>no</v>
      </c>
      <c r="U189" s="4" t="str">
        <f aca="false">IF(P189&lt;0.05,"YES","no")</f>
        <v>no</v>
      </c>
      <c r="V189" s="4" t="str">
        <f aca="false">IF(N189&gt;1,"YES","no")</f>
        <v>no</v>
      </c>
    </row>
    <row r="190" customFormat="false" ht="15" hidden="false" customHeight="false" outlineLevel="0" collapsed="false">
      <c r="A190" s="4" t="s">
        <v>342</v>
      </c>
      <c r="B190" s="4"/>
      <c r="C190" s="4" t="s">
        <v>61</v>
      </c>
      <c r="D190" s="8" t="n">
        <v>184.9855</v>
      </c>
      <c r="E190" s="9" t="n">
        <v>10.148</v>
      </c>
      <c r="F190" s="10" t="n">
        <v>2014587.99533198</v>
      </c>
      <c r="G190" s="10" t="n">
        <v>757689.094109208</v>
      </c>
      <c r="H190" s="10" t="n">
        <v>1907849.01858929</v>
      </c>
      <c r="I190" s="10" t="n">
        <v>917761.627322502</v>
      </c>
      <c r="J190" s="10" t="n">
        <v>1961218.50696064</v>
      </c>
      <c r="K190" s="11" t="n">
        <v>0.947016969727795</v>
      </c>
      <c r="L190" s="11" t="n">
        <v>-0.0785378171105086</v>
      </c>
      <c r="M190" s="11" t="n">
        <v>0.0693048120157443</v>
      </c>
      <c r="N190" s="11" t="n">
        <v>0.166374123558507</v>
      </c>
      <c r="O190" s="12" t="n">
        <v>0.830688575038454</v>
      </c>
      <c r="P190" s="12" t="n">
        <v>0.923481941786446</v>
      </c>
      <c r="Q190" s="4" t="n">
        <f aca="false">RANK(N190,$N$7:$N$307,0)</f>
        <v>184</v>
      </c>
      <c r="R190" s="4" t="n">
        <f aca="false">RANK(O190,$O$7:$O$307,1)</f>
        <v>268</v>
      </c>
      <c r="S190" s="4" t="n">
        <f aca="false">RANK(J190,$J$7:$J$307,0)</f>
        <v>177</v>
      </c>
      <c r="T190" s="4" t="str">
        <f aca="false">IF(O190&lt;0.05,"YES","no")</f>
        <v>no</v>
      </c>
      <c r="U190" s="4" t="str">
        <f aca="false">IF(P190&lt;0.05,"YES","no")</f>
        <v>no</v>
      </c>
      <c r="V190" s="4" t="str">
        <f aca="false">IF(N190&gt;1,"YES","no")</f>
        <v>no</v>
      </c>
    </row>
    <row r="191" customFormat="false" ht="15" hidden="false" customHeight="false" outlineLevel="0" collapsed="false">
      <c r="A191" s="4" t="s">
        <v>218</v>
      </c>
      <c r="B191" s="4"/>
      <c r="C191" s="4" t="s">
        <v>72</v>
      </c>
      <c r="D191" s="8" t="n">
        <v>120.06549</v>
      </c>
      <c r="E191" s="9" t="n">
        <v>11.686</v>
      </c>
      <c r="F191" s="10" t="n">
        <v>4292605.08826331</v>
      </c>
      <c r="G191" s="10" t="n">
        <v>1425677.66531321</v>
      </c>
      <c r="H191" s="10" t="n">
        <v>5226526.19428538</v>
      </c>
      <c r="I191" s="10" t="n">
        <v>2753416.42950645</v>
      </c>
      <c r="J191" s="10" t="n">
        <v>4759565.64127434</v>
      </c>
      <c r="K191" s="11" t="n">
        <v>1.21756511181883</v>
      </c>
      <c r="L191" s="11" t="n">
        <v>0.283998925479163</v>
      </c>
      <c r="M191" s="11" t="n">
        <v>0.227209847580575</v>
      </c>
      <c r="N191" s="11" t="n">
        <v>0.163037735617623</v>
      </c>
      <c r="O191" s="12" t="n">
        <v>0.483075599169241</v>
      </c>
      <c r="P191" s="12" t="n">
        <v>0.785962678144081</v>
      </c>
      <c r="Q191" s="4" t="n">
        <f aca="false">RANK(N191,$N$7:$N$307,0)</f>
        <v>185</v>
      </c>
      <c r="R191" s="4" t="n">
        <f aca="false">RANK(O191,$O$7:$O$307,1)</f>
        <v>185</v>
      </c>
      <c r="S191" s="4" t="n">
        <f aca="false">RANK(J191,$J$7:$J$307,0)</f>
        <v>129</v>
      </c>
      <c r="T191" s="4" t="str">
        <f aca="false">IF(O191&lt;0.05,"YES","no")</f>
        <v>no</v>
      </c>
      <c r="U191" s="4" t="str">
        <f aca="false">IF(P191&lt;0.05,"YES","no")</f>
        <v>no</v>
      </c>
      <c r="V191" s="4" t="str">
        <f aca="false">IF(N191&gt;1,"YES","no")</f>
        <v>no</v>
      </c>
    </row>
    <row r="192" customFormat="false" ht="15" hidden="false" customHeight="false" outlineLevel="0" collapsed="false">
      <c r="A192" s="4" t="s">
        <v>301</v>
      </c>
      <c r="B192" s="4"/>
      <c r="C192" s="4" t="s">
        <v>72</v>
      </c>
      <c r="D192" s="8" t="n">
        <v>209.03024</v>
      </c>
      <c r="E192" s="9" t="n">
        <v>9.886</v>
      </c>
      <c r="F192" s="10" t="n">
        <v>473790.641959673</v>
      </c>
      <c r="G192" s="10" t="n">
        <v>237945.601309884</v>
      </c>
      <c r="H192" s="10" t="n">
        <v>176763.047822187</v>
      </c>
      <c r="I192" s="10" t="n">
        <v>177994.573385582</v>
      </c>
      <c r="J192" s="10" t="n">
        <v>325276.84489093</v>
      </c>
      <c r="K192" s="11" t="n">
        <v>0.373082606889546</v>
      </c>
      <c r="L192" s="11" t="n">
        <v>-1.4224329916051</v>
      </c>
      <c r="M192" s="11" t="n">
        <v>0.612210285357394</v>
      </c>
      <c r="N192" s="11" t="n">
        <v>0.161332151536614</v>
      </c>
      <c r="O192" s="12" t="n">
        <v>0.0361398792274241</v>
      </c>
      <c r="P192" s="12" t="n">
        <v>0.478364863336053</v>
      </c>
      <c r="Q192" s="4" t="n">
        <f aca="false">RANK(N192,$N$7:$N$307,0)</f>
        <v>186</v>
      </c>
      <c r="R192" s="4" t="n">
        <f aca="false">RANK(O192,$O$7:$O$307,1)</f>
        <v>20</v>
      </c>
      <c r="S192" s="4" t="n">
        <f aca="false">RANK(J192,$J$7:$J$307,0)</f>
        <v>260</v>
      </c>
      <c r="T192" s="4" t="str">
        <f aca="false">IF(O192&lt;0.05,"YES","no")</f>
        <v>YES</v>
      </c>
      <c r="U192" s="4" t="str">
        <f aca="false">IF(P192&lt;0.05,"YES","no")</f>
        <v>no</v>
      </c>
      <c r="V192" s="4" t="str">
        <f aca="false">IF(N192&gt;1,"YES","no")</f>
        <v>no</v>
      </c>
    </row>
    <row r="193" customFormat="false" ht="15" hidden="false" customHeight="false" outlineLevel="0" collapsed="false">
      <c r="A193" s="4" t="s">
        <v>249</v>
      </c>
      <c r="B193" s="4" t="s">
        <v>250</v>
      </c>
      <c r="C193" s="4" t="s">
        <v>61</v>
      </c>
      <c r="D193" s="8" t="n">
        <v>298.09695</v>
      </c>
      <c r="E193" s="9" t="n">
        <v>5.465</v>
      </c>
      <c r="F193" s="10" t="n">
        <v>2983270.76981378</v>
      </c>
      <c r="G193" s="10" t="n">
        <v>1311323.69435861</v>
      </c>
      <c r="H193" s="10" t="n">
        <v>3255412.65305733</v>
      </c>
      <c r="I193" s="10" t="n">
        <v>1245218.83737314</v>
      </c>
      <c r="J193" s="10" t="n">
        <v>3119341.71143555</v>
      </c>
      <c r="K193" s="11" t="n">
        <v>1.09122265601809</v>
      </c>
      <c r="L193" s="11" t="n">
        <v>0.12594550309059</v>
      </c>
      <c r="M193" s="11" t="n">
        <v>0.115786249607466</v>
      </c>
      <c r="N193" s="11" t="n">
        <v>0.159511368195836</v>
      </c>
      <c r="O193" s="12" t="n">
        <v>0.720109817812026</v>
      </c>
      <c r="P193" s="12" t="n">
        <v>0.89567378165876</v>
      </c>
      <c r="Q193" s="4" t="n">
        <f aca="false">RANK(N193,$N$7:$N$307,0)</f>
        <v>187</v>
      </c>
      <c r="R193" s="4" t="n">
        <f aca="false">RANK(O193,$O$7:$O$307,1)</f>
        <v>242</v>
      </c>
      <c r="S193" s="4" t="n">
        <f aca="false">RANK(J193,$J$7:$J$307,0)</f>
        <v>152</v>
      </c>
      <c r="T193" s="4" t="str">
        <f aca="false">IF(O193&lt;0.05,"YES","no")</f>
        <v>no</v>
      </c>
      <c r="U193" s="4" t="str">
        <f aca="false">IF(P193&lt;0.05,"YES","no")</f>
        <v>no</v>
      </c>
      <c r="V193" s="4" t="str">
        <f aca="false">IF(N193&gt;1,"YES","no")</f>
        <v>no</v>
      </c>
    </row>
    <row r="194" customFormat="false" ht="15" hidden="false" customHeight="false" outlineLevel="0" collapsed="false">
      <c r="A194" s="4" t="s">
        <v>204</v>
      </c>
      <c r="B194" s="4"/>
      <c r="C194" s="4" t="s">
        <v>61</v>
      </c>
      <c r="D194" s="8" t="n">
        <v>163.06138</v>
      </c>
      <c r="E194" s="9" t="n">
        <v>9.626</v>
      </c>
      <c r="F194" s="10" t="n">
        <v>1878375.93640989</v>
      </c>
      <c r="G194" s="10" t="n">
        <v>314548.995258627</v>
      </c>
      <c r="H194" s="10" t="n">
        <v>2276802.71731642</v>
      </c>
      <c r="I194" s="10" t="n">
        <v>476422.841513728</v>
      </c>
      <c r="J194" s="10" t="n">
        <v>2077589.32686315</v>
      </c>
      <c r="K194" s="11" t="n">
        <v>1.21211237494239</v>
      </c>
      <c r="L194" s="11" t="n">
        <v>0.277523457273462</v>
      </c>
      <c r="M194" s="11" t="n">
        <v>0.475551358343194</v>
      </c>
      <c r="N194" s="11" t="n">
        <v>0.15899003746111</v>
      </c>
      <c r="O194" s="12" t="n">
        <v>0.122838288672296</v>
      </c>
      <c r="P194" s="12" t="n">
        <v>0.577723826411891</v>
      </c>
      <c r="Q194" s="4" t="n">
        <f aca="false">RANK(N194,$N$7:$N$307,0)</f>
        <v>188</v>
      </c>
      <c r="R194" s="4" t="n">
        <f aca="false">RANK(O194,$O$7:$O$307,1)</f>
        <v>64</v>
      </c>
      <c r="S194" s="4" t="n">
        <f aca="false">RANK(J194,$J$7:$J$307,0)</f>
        <v>172</v>
      </c>
      <c r="T194" s="4" t="str">
        <f aca="false">IF(O194&lt;0.05,"YES","no")</f>
        <v>no</v>
      </c>
      <c r="U194" s="4" t="str">
        <f aca="false">IF(P194&lt;0.05,"YES","no")</f>
        <v>no</v>
      </c>
      <c r="V194" s="4" t="str">
        <f aca="false">IF(N194&gt;1,"YES","no")</f>
        <v>no</v>
      </c>
    </row>
    <row r="195" customFormat="false" ht="15" hidden="false" customHeight="false" outlineLevel="0" collapsed="false">
      <c r="A195" s="4" t="s">
        <v>136</v>
      </c>
      <c r="B195" s="4" t="s">
        <v>137</v>
      </c>
      <c r="C195" s="4" t="s">
        <v>72</v>
      </c>
      <c r="D195" s="8" t="n">
        <v>281.24811</v>
      </c>
      <c r="E195" s="9" t="n">
        <v>3.644</v>
      </c>
      <c r="F195" s="10" t="n">
        <v>50216696.1269605</v>
      </c>
      <c r="G195" s="10" t="n">
        <v>33522852.5062481</v>
      </c>
      <c r="H195" s="10" t="n">
        <v>53324724.0396128</v>
      </c>
      <c r="I195" s="10" t="n">
        <v>17967500.8926818</v>
      </c>
      <c r="J195" s="10" t="n">
        <v>51770710.0832867</v>
      </c>
      <c r="K195" s="11" t="n">
        <v>1.06189232172492</v>
      </c>
      <c r="L195" s="11" t="n">
        <v>0.0866374810295711</v>
      </c>
      <c r="M195" s="11" t="n">
        <v>0.0631707633832691</v>
      </c>
      <c r="N195" s="11" t="n">
        <v>0.156873084414602</v>
      </c>
      <c r="O195" s="12" t="n">
        <v>0.846568563548207</v>
      </c>
      <c r="P195" s="12" t="n">
        <v>0.923481941786446</v>
      </c>
      <c r="Q195" s="4" t="n">
        <f aca="false">RANK(N195,$N$7:$N$307,0)</f>
        <v>189</v>
      </c>
      <c r="R195" s="4" t="n">
        <f aca="false">RANK(O195,$O$7:$O$307,1)</f>
        <v>273</v>
      </c>
      <c r="S195" s="4" t="n">
        <f aca="false">RANK(J195,$J$7:$J$307,0)</f>
        <v>42</v>
      </c>
      <c r="T195" s="4" t="str">
        <f aca="false">IF(O195&lt;0.05,"YES","no")</f>
        <v>no</v>
      </c>
      <c r="U195" s="4" t="str">
        <f aca="false">IF(P195&lt;0.05,"YES","no")</f>
        <v>no</v>
      </c>
      <c r="V195" s="4" t="str">
        <f aca="false">IF(N195&gt;1,"YES","no")</f>
        <v>no</v>
      </c>
    </row>
    <row r="196" customFormat="false" ht="15" hidden="false" customHeight="false" outlineLevel="0" collapsed="false">
      <c r="A196" s="4" t="s">
        <v>305</v>
      </c>
      <c r="B196" s="4"/>
      <c r="C196" s="4" t="s">
        <v>61</v>
      </c>
      <c r="D196" s="8" t="n">
        <v>105.01929</v>
      </c>
      <c r="E196" s="9" t="n">
        <v>8.505</v>
      </c>
      <c r="F196" s="10" t="n">
        <v>1289533.59061511</v>
      </c>
      <c r="G196" s="10" t="n">
        <v>257842.127968224</v>
      </c>
      <c r="H196" s="10" t="n">
        <v>1113380.39662108</v>
      </c>
      <c r="I196" s="10" t="n">
        <v>388585.370778031</v>
      </c>
      <c r="J196" s="10" t="n">
        <v>1201456.9936181</v>
      </c>
      <c r="K196" s="11" t="n">
        <v>0.863397746847368</v>
      </c>
      <c r="L196" s="11" t="n">
        <v>-0.211902766989975</v>
      </c>
      <c r="M196" s="11" t="n">
        <v>0.280814132929385</v>
      </c>
      <c r="N196" s="11" t="n">
        <v>0.156563890298443</v>
      </c>
      <c r="O196" s="12" t="n">
        <v>0.379822588261005</v>
      </c>
      <c r="P196" s="12" t="n">
        <v>0.743900691806834</v>
      </c>
      <c r="Q196" s="4" t="n">
        <f aca="false">RANK(N196,$N$7:$N$307,0)</f>
        <v>190</v>
      </c>
      <c r="R196" s="4" t="n">
        <f aca="false">RANK(O196,$O$7:$O$307,1)</f>
        <v>153</v>
      </c>
      <c r="S196" s="4" t="n">
        <f aca="false">RANK(J196,$J$7:$J$307,0)</f>
        <v>205</v>
      </c>
      <c r="T196" s="4" t="str">
        <f aca="false">IF(O196&lt;0.05,"YES","no")</f>
        <v>no</v>
      </c>
      <c r="U196" s="4" t="str">
        <f aca="false">IF(P196&lt;0.05,"YES","no")</f>
        <v>no</v>
      </c>
      <c r="V196" s="4" t="str">
        <f aca="false">IF(N196&gt;1,"YES","no")</f>
        <v>no</v>
      </c>
    </row>
    <row r="197" customFormat="false" ht="15" hidden="false" customHeight="false" outlineLevel="0" collapsed="false">
      <c r="A197" s="4" t="s">
        <v>309</v>
      </c>
      <c r="B197" s="4"/>
      <c r="C197" s="4" t="s">
        <v>72</v>
      </c>
      <c r="D197" s="8" t="n">
        <v>306.07599</v>
      </c>
      <c r="E197" s="9" t="n">
        <v>10.096</v>
      </c>
      <c r="F197" s="10" t="n">
        <v>1459112.08787431</v>
      </c>
      <c r="G197" s="10" t="n">
        <v>271702.949489689</v>
      </c>
      <c r="H197" s="10" t="n">
        <v>1880425.71846864</v>
      </c>
      <c r="I197" s="10" t="n">
        <v>565142.007147921</v>
      </c>
      <c r="J197" s="10" t="n">
        <v>1669768.90317147</v>
      </c>
      <c r="K197" s="11" t="n">
        <v>1.28874658368989</v>
      </c>
      <c r="L197" s="11" t="n">
        <v>0.365968603189747</v>
      </c>
      <c r="M197" s="11" t="n">
        <v>0.46165935755463</v>
      </c>
      <c r="N197" s="11" t="n">
        <v>0.156085574048381</v>
      </c>
      <c r="O197" s="12" t="n">
        <v>0.142648536863138</v>
      </c>
      <c r="P197" s="12" t="n">
        <v>0.59081559788972</v>
      </c>
      <c r="Q197" s="4" t="n">
        <f aca="false">RANK(N197,$N$7:$N$307,0)</f>
        <v>191</v>
      </c>
      <c r="R197" s="4" t="n">
        <f aca="false">RANK(O197,$O$7:$O$307,1)</f>
        <v>70</v>
      </c>
      <c r="S197" s="4" t="n">
        <f aca="false">RANK(J197,$J$7:$J$307,0)</f>
        <v>189</v>
      </c>
      <c r="T197" s="4" t="str">
        <f aca="false">IF(O197&lt;0.05,"YES","no")</f>
        <v>no</v>
      </c>
      <c r="U197" s="4" t="str">
        <f aca="false">IF(P197&lt;0.05,"YES","no")</f>
        <v>no</v>
      </c>
      <c r="V197" s="4" t="str">
        <f aca="false">IF(N197&gt;1,"YES","no")</f>
        <v>no</v>
      </c>
    </row>
    <row r="198" customFormat="false" ht="15" hidden="false" customHeight="false" outlineLevel="0" collapsed="false">
      <c r="A198" s="4" t="s">
        <v>259</v>
      </c>
      <c r="B198" s="4"/>
      <c r="C198" s="4" t="s">
        <v>61</v>
      </c>
      <c r="D198" s="8" t="n">
        <v>127.05014</v>
      </c>
      <c r="E198" s="9" t="n">
        <v>9.201</v>
      </c>
      <c r="F198" s="10" t="n">
        <v>657455.430539159</v>
      </c>
      <c r="G198" s="10" t="n">
        <v>98275.49313972</v>
      </c>
      <c r="H198" s="10" t="n">
        <v>877952.984632559</v>
      </c>
      <c r="I198" s="10" t="n">
        <v>102024.107583403</v>
      </c>
      <c r="J198" s="10" t="n">
        <v>767704.207585859</v>
      </c>
      <c r="K198" s="11" t="n">
        <v>1.33538023088893</v>
      </c>
      <c r="L198" s="11" t="n">
        <v>0.417250587690675</v>
      </c>
      <c r="M198" s="11" t="n">
        <v>0.769709809439222</v>
      </c>
      <c r="N198" s="11" t="n">
        <v>0.154868289000744</v>
      </c>
      <c r="O198" s="12" t="n">
        <v>0.00342243919780742</v>
      </c>
      <c r="P198" s="12" t="n">
        <v>0.4478778750797</v>
      </c>
      <c r="Q198" s="4" t="n">
        <f aca="false">RANK(N198,$N$7:$N$307,0)</f>
        <v>192</v>
      </c>
      <c r="R198" s="4" t="n">
        <f aca="false">RANK(O198,$O$7:$O$307,1)</f>
        <v>1</v>
      </c>
      <c r="S198" s="4" t="n">
        <f aca="false">RANK(J198,$J$7:$J$307,0)</f>
        <v>227</v>
      </c>
      <c r="T198" s="4" t="str">
        <f aca="false">IF(O198&lt;0.05,"YES","no")</f>
        <v>YES</v>
      </c>
      <c r="U198" s="4" t="str">
        <f aca="false">IF(P198&lt;0.05,"YES","no")</f>
        <v>no</v>
      </c>
      <c r="V198" s="4" t="str">
        <f aca="false">IF(N198&gt;1,"YES","no")</f>
        <v>no</v>
      </c>
    </row>
    <row r="199" customFormat="false" ht="15" hidden="false" customHeight="false" outlineLevel="0" collapsed="false">
      <c r="A199" s="4" t="s">
        <v>192</v>
      </c>
      <c r="B199" s="4"/>
      <c r="C199" s="4" t="s">
        <v>61</v>
      </c>
      <c r="D199" s="8" t="n">
        <v>212.00228</v>
      </c>
      <c r="E199" s="9" t="n">
        <v>5.005</v>
      </c>
      <c r="F199" s="10" t="n">
        <v>1583217.75557245</v>
      </c>
      <c r="G199" s="10" t="n">
        <v>472690.752133937</v>
      </c>
      <c r="H199" s="10" t="n">
        <v>2130325.48756738</v>
      </c>
      <c r="I199" s="10" t="n">
        <v>1427430.05605886</v>
      </c>
      <c r="J199" s="10" t="n">
        <v>1856771.62156992</v>
      </c>
      <c r="K199" s="11" t="n">
        <v>1.34556695064167</v>
      </c>
      <c r="L199" s="11" t="n">
        <v>0.428214176155377</v>
      </c>
      <c r="M199" s="11" t="n">
        <v>0.271269603160717</v>
      </c>
      <c r="N199" s="11" t="n">
        <v>0.153532698855516</v>
      </c>
      <c r="O199" s="12" t="n">
        <v>0.406661632895368</v>
      </c>
      <c r="P199" s="12" t="n">
        <v>0.76278415607497</v>
      </c>
      <c r="Q199" s="4" t="n">
        <f aca="false">RANK(N199,$N$7:$N$307,0)</f>
        <v>193</v>
      </c>
      <c r="R199" s="4" t="n">
        <f aca="false">RANK(O199,$O$7:$O$307,1)</f>
        <v>160</v>
      </c>
      <c r="S199" s="4" t="n">
        <f aca="false">RANK(J199,$J$7:$J$307,0)</f>
        <v>182</v>
      </c>
      <c r="T199" s="4" t="str">
        <f aca="false">IF(O199&lt;0.05,"YES","no")</f>
        <v>no</v>
      </c>
      <c r="U199" s="4" t="str">
        <f aca="false">IF(P199&lt;0.05,"YES","no")</f>
        <v>no</v>
      </c>
      <c r="V199" s="4" t="str">
        <f aca="false">IF(N199&gt;1,"YES","no")</f>
        <v>no</v>
      </c>
    </row>
    <row r="200" customFormat="false" ht="15" hidden="false" customHeight="false" outlineLevel="0" collapsed="false">
      <c r="A200" s="4" t="s">
        <v>270</v>
      </c>
      <c r="B200" s="4"/>
      <c r="C200" s="4" t="s">
        <v>61</v>
      </c>
      <c r="D200" s="8" t="n">
        <v>181.0507</v>
      </c>
      <c r="E200" s="9" t="n">
        <v>6.87</v>
      </c>
      <c r="F200" s="10" t="n">
        <v>1594130.72037665</v>
      </c>
      <c r="G200" s="10" t="n">
        <v>922998.705121521</v>
      </c>
      <c r="H200" s="10" t="n">
        <v>2068590.00169964</v>
      </c>
      <c r="I200" s="10" t="n">
        <v>1599893.03426721</v>
      </c>
      <c r="J200" s="10" t="n">
        <v>1831360.36103815</v>
      </c>
      <c r="K200" s="11" t="n">
        <v>1.29762884264027</v>
      </c>
      <c r="L200" s="11" t="n">
        <v>0.375877792078139</v>
      </c>
      <c r="M200" s="11" t="n">
        <v>0.195148548913201</v>
      </c>
      <c r="N200" s="11" t="n">
        <v>0.152539696961248</v>
      </c>
      <c r="O200" s="12" t="n">
        <v>0.546761767759374</v>
      </c>
      <c r="P200" s="12" t="n">
        <v>0.831188343917028</v>
      </c>
      <c r="Q200" s="4" t="n">
        <f aca="false">RANK(N200,$N$7:$N$307,0)</f>
        <v>194</v>
      </c>
      <c r="R200" s="4" t="n">
        <f aca="false">RANK(O200,$O$7:$O$307,1)</f>
        <v>198</v>
      </c>
      <c r="S200" s="4" t="n">
        <f aca="false">RANK(J200,$J$7:$J$307,0)</f>
        <v>184</v>
      </c>
      <c r="T200" s="4" t="str">
        <f aca="false">IF(O200&lt;0.05,"YES","no")</f>
        <v>no</v>
      </c>
      <c r="U200" s="4" t="str">
        <f aca="false">IF(P200&lt;0.05,"YES","no")</f>
        <v>no</v>
      </c>
      <c r="V200" s="4" t="str">
        <f aca="false">IF(N200&gt;1,"YES","no")</f>
        <v>no</v>
      </c>
    </row>
    <row r="201" customFormat="false" ht="15" hidden="false" customHeight="false" outlineLevel="0" collapsed="false">
      <c r="A201" s="4" t="s">
        <v>296</v>
      </c>
      <c r="B201" s="4" t="s">
        <v>297</v>
      </c>
      <c r="C201" s="4" t="s">
        <v>72</v>
      </c>
      <c r="D201" s="8" t="n">
        <v>348.07035</v>
      </c>
      <c r="E201" s="9" t="n">
        <v>10.014</v>
      </c>
      <c r="F201" s="10" t="n">
        <v>1539736.64989871</v>
      </c>
      <c r="G201" s="10" t="n">
        <v>375028.501788424</v>
      </c>
      <c r="H201" s="10" t="n">
        <v>1218217.72249819</v>
      </c>
      <c r="I201" s="10" t="n">
        <v>457703.970903733</v>
      </c>
      <c r="J201" s="10" t="n">
        <v>1378977.18619845</v>
      </c>
      <c r="K201" s="11" t="n">
        <v>0.791185767110454</v>
      </c>
      <c r="L201" s="11" t="n">
        <v>-0.337911621651636</v>
      </c>
      <c r="M201" s="11" t="n">
        <v>0.387924461054143</v>
      </c>
      <c r="N201" s="11" t="n">
        <v>0.149080589032251</v>
      </c>
      <c r="O201" s="12" t="n">
        <v>0.213863220347405</v>
      </c>
      <c r="P201" s="12" t="n">
        <v>0.613074564995894</v>
      </c>
      <c r="Q201" s="4" t="n">
        <f aca="false">RANK(N201,$N$7:$N$307,0)</f>
        <v>195</v>
      </c>
      <c r="R201" s="4" t="n">
        <f aca="false">RANK(O201,$O$7:$O$307,1)</f>
        <v>105</v>
      </c>
      <c r="S201" s="4" t="n">
        <f aca="false">RANK(J201,$J$7:$J$307,0)</f>
        <v>200</v>
      </c>
      <c r="T201" s="4" t="str">
        <f aca="false">IF(O201&lt;0.05,"YES","no")</f>
        <v>no</v>
      </c>
      <c r="U201" s="4" t="str">
        <f aca="false">IF(P201&lt;0.05,"YES","no")</f>
        <v>no</v>
      </c>
      <c r="V201" s="4" t="str">
        <f aca="false">IF(N201&gt;1,"YES","no")</f>
        <v>no</v>
      </c>
    </row>
    <row r="202" customFormat="false" ht="15" hidden="false" customHeight="false" outlineLevel="0" collapsed="false">
      <c r="A202" s="4" t="s">
        <v>363</v>
      </c>
      <c r="B202" s="4"/>
      <c r="C202" s="4" t="s">
        <v>72</v>
      </c>
      <c r="D202" s="8" t="n">
        <v>181.07174</v>
      </c>
      <c r="E202" s="9" t="n">
        <v>10.505</v>
      </c>
      <c r="F202" s="10" t="n">
        <v>588528.750187499</v>
      </c>
      <c r="G202" s="10" t="n">
        <v>551058.16628856</v>
      </c>
      <c r="H202" s="10" t="n">
        <v>305423.864931309</v>
      </c>
      <c r="I202" s="10" t="n">
        <v>134354.548137618</v>
      </c>
      <c r="J202" s="10" t="n">
        <v>446976.307559404</v>
      </c>
      <c r="K202" s="11" t="n">
        <v>0.518961673213083</v>
      </c>
      <c r="L202" s="11" t="n">
        <v>-0.94630009947795</v>
      </c>
      <c r="M202" s="11" t="n">
        <v>0.360608898389805</v>
      </c>
      <c r="N202" s="11" t="n">
        <v>0.145274667789545</v>
      </c>
      <c r="O202" s="12" t="n">
        <v>0.270489684987513</v>
      </c>
      <c r="P202" s="12" t="n">
        <v>0.651482536722943</v>
      </c>
      <c r="Q202" s="4" t="n">
        <f aca="false">RANK(N202,$N$7:$N$307,0)</f>
        <v>196</v>
      </c>
      <c r="R202" s="4" t="n">
        <f aca="false">RANK(O202,$O$7:$O$307,1)</f>
        <v>123</v>
      </c>
      <c r="S202" s="4" t="n">
        <f aca="false">RANK(J202,$J$7:$J$307,0)</f>
        <v>245</v>
      </c>
      <c r="T202" s="4" t="str">
        <f aca="false">IF(O202&lt;0.05,"YES","no")</f>
        <v>no</v>
      </c>
      <c r="U202" s="4" t="str">
        <f aca="false">IF(P202&lt;0.05,"YES","no")</f>
        <v>no</v>
      </c>
      <c r="V202" s="4" t="str">
        <f aca="false">IF(N202&gt;1,"YES","no")</f>
        <v>no</v>
      </c>
    </row>
    <row r="203" customFormat="false" ht="15" hidden="false" customHeight="false" outlineLevel="0" collapsed="false">
      <c r="A203" s="4" t="s">
        <v>390</v>
      </c>
      <c r="B203" s="4" t="s">
        <v>391</v>
      </c>
      <c r="C203" s="4" t="s">
        <v>72</v>
      </c>
      <c r="D203" s="8" t="n">
        <v>348.07055</v>
      </c>
      <c r="E203" s="9" t="n">
        <v>7.787</v>
      </c>
      <c r="F203" s="10" t="n">
        <v>1729866.00256007</v>
      </c>
      <c r="G203" s="10" t="n">
        <v>793676.079672783</v>
      </c>
      <c r="H203" s="10" t="n">
        <v>2206603.1616094</v>
      </c>
      <c r="I203" s="10" t="n">
        <v>936756.235320653</v>
      </c>
      <c r="J203" s="10" t="n">
        <v>1968234.58208474</v>
      </c>
      <c r="K203" s="11" t="n">
        <v>1.27559195818855</v>
      </c>
      <c r="L203" s="11" t="n">
        <v>0.351166907439355</v>
      </c>
      <c r="M203" s="11" t="n">
        <v>0.288024887113126</v>
      </c>
      <c r="N203" s="11" t="n">
        <v>0.144383367173232</v>
      </c>
      <c r="O203" s="12" t="n">
        <v>0.364553863416614</v>
      </c>
      <c r="P203" s="12" t="n">
        <v>0.731538085922673</v>
      </c>
      <c r="Q203" s="4" t="n">
        <f aca="false">RANK(N203,$N$7:$N$307,0)</f>
        <v>197</v>
      </c>
      <c r="R203" s="4" t="n">
        <f aca="false">RANK(O203,$O$7:$O$307,1)</f>
        <v>150</v>
      </c>
      <c r="S203" s="4" t="n">
        <f aca="false">RANK(J203,$J$7:$J$307,0)</f>
        <v>176</v>
      </c>
      <c r="T203" s="4" t="str">
        <f aca="false">IF(O203&lt;0.05,"YES","no")</f>
        <v>no</v>
      </c>
      <c r="U203" s="4" t="str">
        <f aca="false">IF(P203&lt;0.05,"YES","no")</f>
        <v>no</v>
      </c>
      <c r="V203" s="4" t="str">
        <f aca="false">IF(N203&gt;1,"YES","no")</f>
        <v>no</v>
      </c>
    </row>
    <row r="204" customFormat="false" ht="15" hidden="false" customHeight="false" outlineLevel="0" collapsed="false">
      <c r="A204" s="4" t="s">
        <v>366</v>
      </c>
      <c r="B204" s="4"/>
      <c r="C204" s="4" t="s">
        <v>72</v>
      </c>
      <c r="D204" s="8" t="n">
        <v>400.34208</v>
      </c>
      <c r="E204" s="9" t="n">
        <v>6.806</v>
      </c>
      <c r="F204" s="10" t="n">
        <v>994992.838553908</v>
      </c>
      <c r="G204" s="10" t="n">
        <v>729516.803691599</v>
      </c>
      <c r="H204" s="10" t="n">
        <v>592657.259476321</v>
      </c>
      <c r="I204" s="10" t="n">
        <v>403597.641915192</v>
      </c>
      <c r="J204" s="10" t="n">
        <v>793825.049015115</v>
      </c>
      <c r="K204" s="11" t="n">
        <v>0.595639723736776</v>
      </c>
      <c r="L204" s="11" t="n">
        <v>-0.747488123158403</v>
      </c>
      <c r="M204" s="11" t="n">
        <v>0.350141716807124</v>
      </c>
      <c r="N204" s="11" t="n">
        <v>0.143367808627945</v>
      </c>
      <c r="O204" s="12" t="n">
        <v>0.271962339885993</v>
      </c>
      <c r="P204" s="12" t="n">
        <v>0.651482536722943</v>
      </c>
      <c r="Q204" s="4" t="n">
        <f aca="false">RANK(N204,$N$7:$N$307,0)</f>
        <v>198</v>
      </c>
      <c r="R204" s="4" t="n">
        <f aca="false">RANK(O204,$O$7:$O$307,1)</f>
        <v>125</v>
      </c>
      <c r="S204" s="4" t="n">
        <f aca="false">RANK(J204,$J$7:$J$307,0)</f>
        <v>225</v>
      </c>
      <c r="T204" s="4" t="str">
        <f aca="false">IF(O204&lt;0.05,"YES","no")</f>
        <v>no</v>
      </c>
      <c r="U204" s="4" t="str">
        <f aca="false">IF(P204&lt;0.05,"YES","no")</f>
        <v>no</v>
      </c>
      <c r="V204" s="4" t="str">
        <f aca="false">IF(N204&gt;1,"YES","no")</f>
        <v>no</v>
      </c>
    </row>
    <row r="205" customFormat="false" ht="15" hidden="false" customHeight="false" outlineLevel="0" collapsed="false">
      <c r="A205" s="4" t="s">
        <v>177</v>
      </c>
      <c r="B205" s="4"/>
      <c r="C205" s="4" t="s">
        <v>61</v>
      </c>
      <c r="D205" s="8" t="n">
        <v>135.08032</v>
      </c>
      <c r="E205" s="9" t="n">
        <v>4.066</v>
      </c>
      <c r="F205" s="10" t="n">
        <v>18769000.2278552</v>
      </c>
      <c r="G205" s="10" t="n">
        <v>3435846.39238057</v>
      </c>
      <c r="H205" s="10" t="n">
        <v>19110909.2446106</v>
      </c>
      <c r="I205" s="10" t="n">
        <v>6867982.58617492</v>
      </c>
      <c r="J205" s="10" t="n">
        <v>18939954.7362329</v>
      </c>
      <c r="K205" s="11" t="n">
        <v>1.01821668776198</v>
      </c>
      <c r="L205" s="11" t="n">
        <v>0.0260446155328369</v>
      </c>
      <c r="M205" s="11" t="n">
        <v>0.0344664811412697</v>
      </c>
      <c r="N205" s="11" t="n">
        <v>0.1390553287359</v>
      </c>
      <c r="O205" s="12" t="n">
        <v>0.916073027392379</v>
      </c>
      <c r="P205" s="12" t="n">
        <v>0.953864911541847</v>
      </c>
      <c r="Q205" s="4" t="n">
        <f aca="false">RANK(N205,$N$7:$N$307,0)</f>
        <v>199</v>
      </c>
      <c r="R205" s="4" t="n">
        <f aca="false">RANK(O205,$O$7:$O$307,1)</f>
        <v>289</v>
      </c>
      <c r="S205" s="4" t="n">
        <f aca="false">RANK(J205,$J$7:$J$307,0)</f>
        <v>76</v>
      </c>
      <c r="T205" s="4" t="str">
        <f aca="false">IF(O205&lt;0.05,"YES","no")</f>
        <v>no</v>
      </c>
      <c r="U205" s="4" t="str">
        <f aca="false">IF(P205&lt;0.05,"YES","no")</f>
        <v>no</v>
      </c>
      <c r="V205" s="4" t="str">
        <f aca="false">IF(N205&gt;1,"YES","no")</f>
        <v>no</v>
      </c>
    </row>
    <row r="206" customFormat="false" ht="15" hidden="false" customHeight="false" outlineLevel="0" collapsed="false">
      <c r="A206" s="4" t="s">
        <v>257</v>
      </c>
      <c r="B206" s="4"/>
      <c r="C206" s="4" t="s">
        <v>72</v>
      </c>
      <c r="D206" s="8" t="n">
        <v>109.02835</v>
      </c>
      <c r="E206" s="9" t="n">
        <v>9.916</v>
      </c>
      <c r="F206" s="10" t="n">
        <v>3827097.00344878</v>
      </c>
      <c r="G206" s="10" t="n">
        <v>3444139.36249943</v>
      </c>
      <c r="H206" s="10" t="n">
        <v>4860128.93912409</v>
      </c>
      <c r="I206" s="10" t="n">
        <v>4568855.08270469</v>
      </c>
      <c r="J206" s="10" t="n">
        <v>4343612.97128644</v>
      </c>
      <c r="K206" s="11" t="n">
        <v>1.26992572562033</v>
      </c>
      <c r="L206" s="11" t="n">
        <v>0.344744120294483</v>
      </c>
      <c r="M206" s="11" t="n">
        <v>0.138505448368386</v>
      </c>
      <c r="N206" s="11" t="n">
        <v>0.137848184421784</v>
      </c>
      <c r="O206" s="12" t="n">
        <v>0.668415877626895</v>
      </c>
      <c r="P206" s="12" t="n">
        <v>0.881168181006632</v>
      </c>
      <c r="Q206" s="4" t="n">
        <f aca="false">RANK(N206,$N$7:$N$307,0)</f>
        <v>200</v>
      </c>
      <c r="R206" s="4" t="n">
        <f aca="false">RANK(O206,$O$7:$O$307,1)</f>
        <v>226</v>
      </c>
      <c r="S206" s="4" t="n">
        <f aca="false">RANK(J206,$J$7:$J$307,0)</f>
        <v>135</v>
      </c>
      <c r="T206" s="4" t="str">
        <f aca="false">IF(O206&lt;0.05,"YES","no")</f>
        <v>no</v>
      </c>
      <c r="U206" s="4" t="str">
        <f aca="false">IF(P206&lt;0.05,"YES","no")</f>
        <v>no</v>
      </c>
      <c r="V206" s="4" t="str">
        <f aca="false">IF(N206&gt;1,"YES","no")</f>
        <v>no</v>
      </c>
    </row>
    <row r="207" customFormat="false" ht="15" hidden="false" customHeight="false" outlineLevel="0" collapsed="false">
      <c r="A207" s="4" t="s">
        <v>273</v>
      </c>
      <c r="B207" s="4"/>
      <c r="C207" s="4" t="s">
        <v>72</v>
      </c>
      <c r="D207" s="8" t="n">
        <v>165.01942</v>
      </c>
      <c r="E207" s="9" t="n">
        <v>8.62</v>
      </c>
      <c r="F207" s="10" t="n">
        <v>990364.747465812</v>
      </c>
      <c r="G207" s="10" t="n">
        <v>315451.501143275</v>
      </c>
      <c r="H207" s="10" t="n">
        <v>1237477.82310347</v>
      </c>
      <c r="I207" s="10" t="n">
        <v>574180.289095127</v>
      </c>
      <c r="J207" s="10" t="n">
        <v>1113921.28528464</v>
      </c>
      <c r="K207" s="11" t="n">
        <v>1.24951723723</v>
      </c>
      <c r="L207" s="11" t="n">
        <v>0.321370803701292</v>
      </c>
      <c r="M207" s="11" t="n">
        <v>0.2804509328725</v>
      </c>
      <c r="N207" s="11" t="n">
        <v>0.133761378466031</v>
      </c>
      <c r="O207" s="12" t="n">
        <v>0.383324851871923</v>
      </c>
      <c r="P207" s="12" t="n">
        <v>0.74439213169967</v>
      </c>
      <c r="Q207" s="4" t="n">
        <f aca="false">RANK(N207,$N$7:$N$307,0)</f>
        <v>201</v>
      </c>
      <c r="R207" s="4" t="n">
        <f aca="false">RANK(O207,$O$7:$O$307,1)</f>
        <v>155</v>
      </c>
      <c r="S207" s="4" t="n">
        <f aca="false">RANK(J207,$J$7:$J$307,0)</f>
        <v>210</v>
      </c>
      <c r="T207" s="4" t="str">
        <f aca="false">IF(O207&lt;0.05,"YES","no")</f>
        <v>no</v>
      </c>
      <c r="U207" s="4" t="str">
        <f aca="false">IF(P207&lt;0.05,"YES","no")</f>
        <v>no</v>
      </c>
      <c r="V207" s="4" t="str">
        <f aca="false">IF(N207&gt;1,"YES","no")</f>
        <v>no</v>
      </c>
    </row>
    <row r="208" customFormat="false" ht="15" hidden="false" customHeight="false" outlineLevel="0" collapsed="false">
      <c r="A208" s="4" t="s">
        <v>221</v>
      </c>
      <c r="B208" s="4"/>
      <c r="C208" s="4" t="s">
        <v>72</v>
      </c>
      <c r="D208" s="8" t="n">
        <v>207.99828</v>
      </c>
      <c r="E208" s="9" t="n">
        <v>9.816</v>
      </c>
      <c r="F208" s="10" t="n">
        <v>2009108.71881295</v>
      </c>
      <c r="G208" s="10" t="n">
        <v>442594.711577027</v>
      </c>
      <c r="H208" s="10" t="n">
        <v>1694609.06298715</v>
      </c>
      <c r="I208" s="10" t="n">
        <v>548090.983698185</v>
      </c>
      <c r="J208" s="10" t="n">
        <v>1851858.89090005</v>
      </c>
      <c r="K208" s="11" t="n">
        <v>0.843463097401911</v>
      </c>
      <c r="L208" s="11" t="n">
        <v>-0.245603144762054</v>
      </c>
      <c r="M208" s="11" t="n">
        <v>0.326812844279247</v>
      </c>
      <c r="N208" s="11" t="n">
        <v>0.131999458353412</v>
      </c>
      <c r="O208" s="12" t="n">
        <v>0.300911586427752</v>
      </c>
      <c r="P208" s="12" t="n">
        <v>0.652060151640156</v>
      </c>
      <c r="Q208" s="4" t="n">
        <f aca="false">RANK(N208,$N$7:$N$307,0)</f>
        <v>202</v>
      </c>
      <c r="R208" s="4" t="n">
        <f aca="false">RANK(O208,$O$7:$O$307,1)</f>
        <v>138</v>
      </c>
      <c r="S208" s="4" t="n">
        <f aca="false">RANK(J208,$J$7:$J$307,0)</f>
        <v>183</v>
      </c>
      <c r="T208" s="4" t="str">
        <f aca="false">IF(O208&lt;0.05,"YES","no")</f>
        <v>no</v>
      </c>
      <c r="U208" s="4" t="str">
        <f aca="false">IF(P208&lt;0.05,"YES","no")</f>
        <v>no</v>
      </c>
      <c r="V208" s="4" t="str">
        <f aca="false">IF(N208&gt;1,"YES","no")</f>
        <v>no</v>
      </c>
    </row>
    <row r="209" customFormat="false" ht="15" hidden="false" customHeight="false" outlineLevel="0" collapsed="false">
      <c r="A209" s="4" t="s">
        <v>350</v>
      </c>
      <c r="B209" s="4"/>
      <c r="C209" s="4" t="s">
        <v>72</v>
      </c>
      <c r="D209" s="8" t="n">
        <v>144.0666</v>
      </c>
      <c r="E209" s="9" t="n">
        <v>6.819</v>
      </c>
      <c r="F209" s="10" t="n">
        <v>514199.22457586</v>
      </c>
      <c r="G209" s="10" t="n">
        <v>323807.038373237</v>
      </c>
      <c r="H209" s="10" t="n">
        <v>303763.156603489</v>
      </c>
      <c r="I209" s="10" t="n">
        <v>131113.991644638</v>
      </c>
      <c r="J209" s="10" t="n">
        <v>408981.190589675</v>
      </c>
      <c r="K209" s="11" t="n">
        <v>0.590749931320977</v>
      </c>
      <c r="L209" s="11" t="n">
        <v>-0.759380538412137</v>
      </c>
      <c r="M209" s="11" t="n">
        <v>0.422833160427781</v>
      </c>
      <c r="N209" s="11" t="n">
        <v>0.13192124432039</v>
      </c>
      <c r="O209" s="12" t="n">
        <v>0.186141225224318</v>
      </c>
      <c r="P209" s="12" t="n">
        <v>0.59604796587787</v>
      </c>
      <c r="Q209" s="4" t="n">
        <f aca="false">RANK(N209,$N$7:$N$307,0)</f>
        <v>203</v>
      </c>
      <c r="R209" s="4" t="n">
        <f aca="false">RANK(O209,$O$7:$O$307,1)</f>
        <v>94</v>
      </c>
      <c r="S209" s="4" t="n">
        <f aca="false">RANK(J209,$J$7:$J$307,0)</f>
        <v>250</v>
      </c>
      <c r="T209" s="4" t="str">
        <f aca="false">IF(O209&lt;0.05,"YES","no")</f>
        <v>no</v>
      </c>
      <c r="U209" s="4" t="str">
        <f aca="false">IF(P209&lt;0.05,"YES","no")</f>
        <v>no</v>
      </c>
      <c r="V209" s="4" t="str">
        <f aca="false">IF(N209&gt;1,"YES","no")</f>
        <v>no</v>
      </c>
    </row>
    <row r="210" customFormat="false" ht="15" hidden="false" customHeight="false" outlineLevel="0" collapsed="false">
      <c r="A210" s="4" t="s">
        <v>302</v>
      </c>
      <c r="B210" s="4"/>
      <c r="C210" s="4" t="s">
        <v>61</v>
      </c>
      <c r="D210" s="8" t="n">
        <v>173.08244</v>
      </c>
      <c r="E210" s="9" t="n">
        <v>8.269</v>
      </c>
      <c r="F210" s="10" t="n">
        <v>562910.848768379</v>
      </c>
      <c r="G210" s="10" t="n">
        <v>272118.194315436</v>
      </c>
      <c r="H210" s="10" t="n">
        <v>802750.47747912</v>
      </c>
      <c r="I210" s="10" t="n">
        <v>447076.660446959</v>
      </c>
      <c r="J210" s="10" t="n">
        <v>682830.66312375</v>
      </c>
      <c r="K210" s="11" t="n">
        <v>1.42607036129344</v>
      </c>
      <c r="L210" s="11" t="n">
        <v>0.512045165081147</v>
      </c>
      <c r="M210" s="11" t="n">
        <v>0.334511802966761</v>
      </c>
      <c r="N210" s="11" t="n">
        <v>0.128656783621292</v>
      </c>
      <c r="O210" s="12" t="n">
        <v>0.293231951929983</v>
      </c>
      <c r="P210" s="12" t="n">
        <v>0.652060151640156</v>
      </c>
      <c r="Q210" s="4" t="n">
        <f aca="false">RANK(N210,$N$7:$N$307,0)</f>
        <v>204</v>
      </c>
      <c r="R210" s="4" t="n">
        <f aca="false">RANK(O210,$O$7:$O$307,1)</f>
        <v>132</v>
      </c>
      <c r="S210" s="4" t="n">
        <f aca="false">RANK(J210,$J$7:$J$307,0)</f>
        <v>230</v>
      </c>
      <c r="T210" s="4" t="str">
        <f aca="false">IF(O210&lt;0.05,"YES","no")</f>
        <v>no</v>
      </c>
      <c r="U210" s="4" t="str">
        <f aca="false">IF(P210&lt;0.05,"YES","no")</f>
        <v>no</v>
      </c>
      <c r="V210" s="4" t="str">
        <f aca="false">IF(N210&gt;1,"YES","no")</f>
        <v>no</v>
      </c>
    </row>
    <row r="211" customFormat="false" ht="15" hidden="false" customHeight="false" outlineLevel="0" collapsed="false">
      <c r="A211" s="4" t="s">
        <v>217</v>
      </c>
      <c r="B211" s="4"/>
      <c r="C211" s="4" t="s">
        <v>61</v>
      </c>
      <c r="D211" s="8" t="n">
        <v>178.05098</v>
      </c>
      <c r="E211" s="9" t="n">
        <v>5.022</v>
      </c>
      <c r="F211" s="10" t="n">
        <v>321969.251733432</v>
      </c>
      <c r="G211" s="10" t="n">
        <v>316271.380734683</v>
      </c>
      <c r="H211" s="10" t="n">
        <v>595036.038175363</v>
      </c>
      <c r="I211" s="10" t="n">
        <v>281189.493365823</v>
      </c>
      <c r="J211" s="10" t="n">
        <v>458502.644954397</v>
      </c>
      <c r="K211" s="11" t="n">
        <v>1.84811448600071</v>
      </c>
      <c r="L211" s="11" t="n">
        <v>0.886054130817543</v>
      </c>
      <c r="M211" s="11" t="n">
        <v>0.447075724767586</v>
      </c>
      <c r="N211" s="11" t="n">
        <v>0.126706591169851</v>
      </c>
      <c r="O211" s="12" t="n">
        <v>0.145483802622239</v>
      </c>
      <c r="P211" s="12" t="n">
        <v>0.59081559788972</v>
      </c>
      <c r="Q211" s="4" t="n">
        <f aca="false">RANK(N211,$N$7:$N$307,0)</f>
        <v>205</v>
      </c>
      <c r="R211" s="4" t="n">
        <f aca="false">RANK(O211,$O$7:$O$307,1)</f>
        <v>72</v>
      </c>
      <c r="S211" s="4" t="n">
        <f aca="false">RANK(J211,$J$7:$J$307,0)</f>
        <v>244</v>
      </c>
      <c r="T211" s="4" t="str">
        <f aca="false">IF(O211&lt;0.05,"YES","no")</f>
        <v>no</v>
      </c>
      <c r="U211" s="4" t="str">
        <f aca="false">IF(P211&lt;0.05,"YES","no")</f>
        <v>no</v>
      </c>
      <c r="V211" s="4" t="str">
        <f aca="false">IF(N211&gt;1,"YES","no")</f>
        <v>no</v>
      </c>
    </row>
    <row r="212" customFormat="false" ht="15" hidden="false" customHeight="false" outlineLevel="0" collapsed="false">
      <c r="A212" s="4" t="s">
        <v>310</v>
      </c>
      <c r="B212" s="4"/>
      <c r="C212" s="4" t="s">
        <v>61</v>
      </c>
      <c r="D212" s="8" t="n">
        <v>229.04836</v>
      </c>
      <c r="E212" s="9" t="n">
        <v>8.959</v>
      </c>
      <c r="F212" s="10" t="n">
        <v>411029.641022555</v>
      </c>
      <c r="G212" s="10" t="n">
        <v>132087.72592357</v>
      </c>
      <c r="H212" s="10" t="n">
        <v>312542.022702561</v>
      </c>
      <c r="I212" s="10" t="n">
        <v>182835.94334674</v>
      </c>
      <c r="J212" s="10" t="n">
        <v>361785.831862558</v>
      </c>
      <c r="K212" s="11" t="n">
        <v>0.760388038986731</v>
      </c>
      <c r="L212" s="11" t="n">
        <v>-0.395192256523001</v>
      </c>
      <c r="M212" s="11" t="n">
        <v>0.320391445840295</v>
      </c>
      <c r="N212" s="11" t="n">
        <v>0.123675795787378</v>
      </c>
      <c r="O212" s="12" t="n">
        <v>0.312365520645727</v>
      </c>
      <c r="P212" s="12" t="n">
        <v>0.662126913481436</v>
      </c>
      <c r="Q212" s="4" t="n">
        <f aca="false">RANK(N212,$N$7:$N$307,0)</f>
        <v>206</v>
      </c>
      <c r="R212" s="4" t="n">
        <f aca="false">RANK(O212,$O$7:$O$307,1)</f>
        <v>142</v>
      </c>
      <c r="S212" s="4" t="n">
        <f aca="false">RANK(J212,$J$7:$J$307,0)</f>
        <v>256</v>
      </c>
      <c r="T212" s="4" t="str">
        <f aca="false">IF(O212&lt;0.05,"YES","no")</f>
        <v>no</v>
      </c>
      <c r="U212" s="4" t="str">
        <f aca="false">IF(P212&lt;0.05,"YES","no")</f>
        <v>no</v>
      </c>
      <c r="V212" s="4" t="str">
        <f aca="false">IF(N212&gt;1,"YES","no")</f>
        <v>no</v>
      </c>
    </row>
    <row r="213" customFormat="false" ht="15" hidden="false" customHeight="false" outlineLevel="0" collapsed="false">
      <c r="A213" s="4" t="s">
        <v>387</v>
      </c>
      <c r="B213" s="4"/>
      <c r="C213" s="4" t="s">
        <v>72</v>
      </c>
      <c r="D213" s="8" t="n">
        <v>330.06001</v>
      </c>
      <c r="E213" s="9" t="n">
        <v>7.481</v>
      </c>
      <c r="F213" s="10" t="n">
        <v>535434.495555892</v>
      </c>
      <c r="G213" s="10" t="n">
        <v>196446.422063191</v>
      </c>
      <c r="H213" s="10" t="n">
        <v>796850.606325799</v>
      </c>
      <c r="I213" s="10" t="n">
        <v>374074.518478532</v>
      </c>
      <c r="J213" s="10" t="n">
        <v>666142.550940845</v>
      </c>
      <c r="K213" s="11" t="n">
        <v>1.48823173131291</v>
      </c>
      <c r="L213" s="11" t="n">
        <v>0.573599184770167</v>
      </c>
      <c r="M213" s="11" t="n">
        <v>0.432180353153297</v>
      </c>
      <c r="N213" s="11" t="n">
        <v>0.122766240952953</v>
      </c>
      <c r="O213" s="12" t="n">
        <v>0.170263048443113</v>
      </c>
      <c r="P213" s="12" t="n">
        <v>0.59081559788972</v>
      </c>
      <c r="Q213" s="4" t="n">
        <f aca="false">RANK(N213,$N$7:$N$307,0)</f>
        <v>207</v>
      </c>
      <c r="R213" s="4" t="n">
        <f aca="false">RANK(O213,$O$7:$O$307,1)</f>
        <v>85</v>
      </c>
      <c r="S213" s="4" t="n">
        <f aca="false">RANK(J213,$J$7:$J$307,0)</f>
        <v>232</v>
      </c>
      <c r="T213" s="4" t="str">
        <f aca="false">IF(O213&lt;0.05,"YES","no")</f>
        <v>no</v>
      </c>
      <c r="U213" s="4" t="str">
        <f aca="false">IF(P213&lt;0.05,"YES","no")</f>
        <v>no</v>
      </c>
      <c r="V213" s="4" t="str">
        <f aca="false">IF(N213&gt;1,"YES","no")</f>
        <v>no</v>
      </c>
    </row>
    <row r="214" customFormat="false" ht="15" hidden="false" customHeight="false" outlineLevel="0" collapsed="false">
      <c r="A214" s="4" t="s">
        <v>298</v>
      </c>
      <c r="B214" s="4"/>
      <c r="C214" s="4" t="s">
        <v>61</v>
      </c>
      <c r="D214" s="8" t="n">
        <v>346.05529</v>
      </c>
      <c r="E214" s="9" t="n">
        <v>10.103</v>
      </c>
      <c r="F214" s="10" t="n">
        <v>2494068.13347887</v>
      </c>
      <c r="G214" s="10" t="n">
        <v>697013.101955776</v>
      </c>
      <c r="H214" s="10" t="n">
        <v>2811620.68657263</v>
      </c>
      <c r="I214" s="10" t="n">
        <v>697174.730139448</v>
      </c>
      <c r="J214" s="10" t="n">
        <v>2652844.41002575</v>
      </c>
      <c r="K214" s="11" t="n">
        <v>1.12732312675469</v>
      </c>
      <c r="L214" s="11" t="n">
        <v>0.172901097187249</v>
      </c>
      <c r="M214" s="11" t="n">
        <v>0.242086558451914</v>
      </c>
      <c r="N214" s="11" t="n">
        <v>0.122543451431214</v>
      </c>
      <c r="O214" s="12" t="n">
        <v>0.448405777270159</v>
      </c>
      <c r="P214" s="12" t="n">
        <v>0.779874320834923</v>
      </c>
      <c r="Q214" s="4" t="n">
        <f aca="false">RANK(N214,$N$7:$N$307,0)</f>
        <v>208</v>
      </c>
      <c r="R214" s="4" t="n">
        <f aca="false">RANK(O214,$O$7:$O$307,1)</f>
        <v>172</v>
      </c>
      <c r="S214" s="4" t="n">
        <f aca="false">RANK(J214,$J$7:$J$307,0)</f>
        <v>162</v>
      </c>
      <c r="T214" s="4" t="str">
        <f aca="false">IF(O214&lt;0.05,"YES","no")</f>
        <v>no</v>
      </c>
      <c r="U214" s="4" t="str">
        <f aca="false">IF(P214&lt;0.05,"YES","no")</f>
        <v>no</v>
      </c>
      <c r="V214" s="4" t="str">
        <f aca="false">IF(N214&gt;1,"YES","no")</f>
        <v>no</v>
      </c>
    </row>
    <row r="215" customFormat="false" ht="15" hidden="false" customHeight="false" outlineLevel="0" collapsed="false">
      <c r="A215" s="4" t="s">
        <v>395</v>
      </c>
      <c r="B215" s="4"/>
      <c r="C215" s="4" t="s">
        <v>72</v>
      </c>
      <c r="D215" s="8" t="n">
        <v>249.12665</v>
      </c>
      <c r="E215" s="9" t="n">
        <v>5.019</v>
      </c>
      <c r="F215" s="10" t="n">
        <v>195524.869744386</v>
      </c>
      <c r="G215" s="10" t="n">
        <v>120442.539129156</v>
      </c>
      <c r="H215" s="10" t="n">
        <v>417752.816774713</v>
      </c>
      <c r="I215" s="10" t="n">
        <v>252086.137877712</v>
      </c>
      <c r="J215" s="10" t="n">
        <v>306638.843259549</v>
      </c>
      <c r="K215" s="11" t="n">
        <v>2.13657125725669</v>
      </c>
      <c r="L215" s="11" t="n">
        <v>1.09529743346019</v>
      </c>
      <c r="M215" s="11" t="n">
        <v>0.524561881864136</v>
      </c>
      <c r="N215" s="11" t="n">
        <v>0.122422175845498</v>
      </c>
      <c r="O215" s="12" t="n">
        <v>0.0914054430810033</v>
      </c>
      <c r="P215" s="12" t="n">
        <v>0.545525735104785</v>
      </c>
      <c r="Q215" s="4" t="n">
        <f aca="false">RANK(N215,$N$7:$N$307,0)</f>
        <v>209</v>
      </c>
      <c r="R215" s="4" t="n">
        <f aca="false">RANK(O215,$O$7:$O$307,1)</f>
        <v>49</v>
      </c>
      <c r="S215" s="4" t="n">
        <f aca="false">RANK(J215,$J$7:$J$307,0)</f>
        <v>262</v>
      </c>
      <c r="T215" s="4" t="str">
        <f aca="false">IF(O215&lt;0.05,"YES","no")</f>
        <v>no</v>
      </c>
      <c r="U215" s="4" t="str">
        <f aca="false">IF(P215&lt;0.05,"YES","no")</f>
        <v>no</v>
      </c>
      <c r="V215" s="4" t="str">
        <f aca="false">IF(N215&gt;1,"YES","no")</f>
        <v>no</v>
      </c>
    </row>
    <row r="216" customFormat="false" ht="15" hidden="false" customHeight="false" outlineLevel="0" collapsed="false">
      <c r="A216" s="4" t="s">
        <v>262</v>
      </c>
      <c r="B216" s="4"/>
      <c r="C216" s="4" t="s">
        <v>72</v>
      </c>
      <c r="D216" s="8" t="n">
        <v>290.1347</v>
      </c>
      <c r="E216" s="9" t="n">
        <v>9.152</v>
      </c>
      <c r="F216" s="10" t="n">
        <v>711390.526880333</v>
      </c>
      <c r="G216" s="10" t="n">
        <v>164519.095114185</v>
      </c>
      <c r="H216" s="10" t="n">
        <v>1016458.47677855</v>
      </c>
      <c r="I216" s="10" t="n">
        <v>612589.8275592</v>
      </c>
      <c r="J216" s="10" t="n">
        <v>863924.501829441</v>
      </c>
      <c r="K216" s="11" t="n">
        <v>1.42883330374954</v>
      </c>
      <c r="L216" s="11" t="n">
        <v>0.514837612807456</v>
      </c>
      <c r="M216" s="11" t="n">
        <v>0.349106233623873</v>
      </c>
      <c r="N216" s="11" t="n">
        <v>0.122397908099007</v>
      </c>
      <c r="O216" s="12" t="n">
        <v>0.285456373974816</v>
      </c>
      <c r="P216" s="12" t="n">
        <v>0.652060151640156</v>
      </c>
      <c r="Q216" s="4" t="n">
        <f aca="false">RANK(N216,$N$7:$N$307,0)</f>
        <v>210</v>
      </c>
      <c r="R216" s="4" t="n">
        <f aca="false">RANK(O216,$O$7:$O$307,1)</f>
        <v>130</v>
      </c>
      <c r="S216" s="4" t="n">
        <f aca="false">RANK(J216,$J$7:$J$307,0)</f>
        <v>219</v>
      </c>
      <c r="T216" s="4" t="str">
        <f aca="false">IF(O216&lt;0.05,"YES","no")</f>
        <v>no</v>
      </c>
      <c r="U216" s="4" t="str">
        <f aca="false">IF(P216&lt;0.05,"YES","no")</f>
        <v>no</v>
      </c>
      <c r="V216" s="4" t="str">
        <f aca="false">IF(N216&gt;1,"YES","no")</f>
        <v>no</v>
      </c>
    </row>
    <row r="217" customFormat="false" ht="15" hidden="false" customHeight="false" outlineLevel="0" collapsed="false">
      <c r="A217" s="4" t="s">
        <v>283</v>
      </c>
      <c r="B217" s="4"/>
      <c r="C217" s="4" t="s">
        <v>72</v>
      </c>
      <c r="D217" s="8" t="n">
        <v>405.00966</v>
      </c>
      <c r="E217" s="9" t="n">
        <v>8.863</v>
      </c>
      <c r="F217" s="10" t="n">
        <v>617081.258640668</v>
      </c>
      <c r="G217" s="10" t="n">
        <v>133542.874114702</v>
      </c>
      <c r="H217" s="10" t="n">
        <v>543764.393172636</v>
      </c>
      <c r="I217" s="10" t="n">
        <v>185139.376833214</v>
      </c>
      <c r="J217" s="10" t="n">
        <v>580422.825906652</v>
      </c>
      <c r="K217" s="11" t="n">
        <v>0.881187664604273</v>
      </c>
      <c r="L217" s="11" t="n">
        <v>-0.182478795421424</v>
      </c>
      <c r="M217" s="11" t="n">
        <v>0.241422405370771</v>
      </c>
      <c r="N217" s="11" t="n">
        <v>0.122042038032775</v>
      </c>
      <c r="O217" s="12" t="n">
        <v>0.451461037199073</v>
      </c>
      <c r="P217" s="12" t="n">
        <v>0.779874320834923</v>
      </c>
      <c r="Q217" s="4" t="n">
        <f aca="false">RANK(N217,$N$7:$N$307,0)</f>
        <v>211</v>
      </c>
      <c r="R217" s="4" t="n">
        <f aca="false">RANK(O217,$O$7:$O$307,1)</f>
        <v>173</v>
      </c>
      <c r="S217" s="4" t="n">
        <f aca="false">RANK(J217,$J$7:$J$307,0)</f>
        <v>238</v>
      </c>
      <c r="T217" s="4" t="str">
        <f aca="false">IF(O217&lt;0.05,"YES","no")</f>
        <v>no</v>
      </c>
      <c r="U217" s="4" t="str">
        <f aca="false">IF(P217&lt;0.05,"YES","no")</f>
        <v>no</v>
      </c>
      <c r="V217" s="4" t="str">
        <f aca="false">IF(N217&gt;1,"YES","no")</f>
        <v>no</v>
      </c>
    </row>
    <row r="218" customFormat="false" ht="15" hidden="false" customHeight="false" outlineLevel="0" collapsed="false">
      <c r="A218" s="4" t="s">
        <v>334</v>
      </c>
      <c r="B218" s="4"/>
      <c r="C218" s="4" t="s">
        <v>72</v>
      </c>
      <c r="D218" s="8" t="n">
        <v>425.04451</v>
      </c>
      <c r="E218" s="9" t="n">
        <v>12.572</v>
      </c>
      <c r="F218" s="10" t="n">
        <v>6597882.35374328</v>
      </c>
      <c r="G218" s="10" t="n">
        <v>1475497.54336226</v>
      </c>
      <c r="H218" s="10" t="n">
        <v>7149656.58316122</v>
      </c>
      <c r="I218" s="10" t="n">
        <v>1914931.25033433</v>
      </c>
      <c r="J218" s="10" t="n">
        <v>6873769.46845225</v>
      </c>
      <c r="K218" s="11" t="n">
        <v>1.08362898879288</v>
      </c>
      <c r="L218" s="11" t="n">
        <v>0.115870893547659</v>
      </c>
      <c r="M218" s="11" t="n">
        <v>0.174098992484761</v>
      </c>
      <c r="N218" s="11" t="n">
        <v>0.120541485078327</v>
      </c>
      <c r="O218" s="12" t="n">
        <v>0.589186241615748</v>
      </c>
      <c r="P218" s="12" t="n">
        <v>0.852620474645866</v>
      </c>
      <c r="Q218" s="4" t="n">
        <f aca="false">RANK(N218,$N$7:$N$307,0)</f>
        <v>212</v>
      </c>
      <c r="R218" s="4" t="n">
        <f aca="false">RANK(O218,$O$7:$O$307,1)</f>
        <v>208</v>
      </c>
      <c r="S218" s="4" t="n">
        <f aca="false">RANK(J218,$J$7:$J$307,0)</f>
        <v>115</v>
      </c>
      <c r="T218" s="4" t="str">
        <f aca="false">IF(O218&lt;0.05,"YES","no")</f>
        <v>no</v>
      </c>
      <c r="U218" s="4" t="str">
        <f aca="false">IF(P218&lt;0.05,"YES","no")</f>
        <v>no</v>
      </c>
      <c r="V218" s="4" t="str">
        <f aca="false">IF(N218&gt;1,"YES","no")</f>
        <v>no</v>
      </c>
    </row>
    <row r="219" customFormat="false" ht="15" hidden="false" customHeight="false" outlineLevel="0" collapsed="false">
      <c r="A219" s="4" t="s">
        <v>389</v>
      </c>
      <c r="B219" s="4"/>
      <c r="C219" s="4" t="s">
        <v>72</v>
      </c>
      <c r="D219" s="8" t="n">
        <v>205.08299</v>
      </c>
      <c r="E219" s="9" t="n">
        <v>8.545</v>
      </c>
      <c r="F219" s="10" t="n">
        <v>365766.265356787</v>
      </c>
      <c r="G219" s="10" t="n">
        <v>186296.355041355</v>
      </c>
      <c r="H219" s="10" t="n">
        <v>599440.862946554</v>
      </c>
      <c r="I219" s="10" t="n">
        <v>259987.758497922</v>
      </c>
      <c r="J219" s="10" t="n">
        <v>482603.564151671</v>
      </c>
      <c r="K219" s="11" t="n">
        <v>1.63886317498917</v>
      </c>
      <c r="L219" s="11" t="n">
        <v>0.712695412091749</v>
      </c>
      <c r="M219" s="11" t="n">
        <v>0.492515754538529</v>
      </c>
      <c r="N219" s="11" t="n">
        <v>0.120432463107032</v>
      </c>
      <c r="O219" s="12" t="n">
        <v>0.106909976421325</v>
      </c>
      <c r="P219" s="12" t="n">
        <v>0.564559700049453</v>
      </c>
      <c r="Q219" s="4" t="n">
        <f aca="false">RANK(N219,$N$7:$N$307,0)</f>
        <v>213</v>
      </c>
      <c r="R219" s="4" t="n">
        <f aca="false">RANK(O219,$O$7:$O$307,1)</f>
        <v>57</v>
      </c>
      <c r="S219" s="4" t="n">
        <f aca="false">RANK(J219,$J$7:$J$307,0)</f>
        <v>242</v>
      </c>
      <c r="T219" s="4" t="str">
        <f aca="false">IF(O219&lt;0.05,"YES","no")</f>
        <v>no</v>
      </c>
      <c r="U219" s="4" t="str">
        <f aca="false">IF(P219&lt;0.05,"YES","no")</f>
        <v>no</v>
      </c>
      <c r="V219" s="4" t="str">
        <f aca="false">IF(N219&gt;1,"YES","no")</f>
        <v>no</v>
      </c>
    </row>
    <row r="220" customFormat="false" ht="15" hidden="false" customHeight="false" outlineLevel="0" collapsed="false">
      <c r="A220" s="4" t="s">
        <v>271</v>
      </c>
      <c r="B220" s="4"/>
      <c r="C220" s="4" t="s">
        <v>61</v>
      </c>
      <c r="D220" s="8" t="n">
        <v>168.9909</v>
      </c>
      <c r="E220" s="9" t="n">
        <v>9.562</v>
      </c>
      <c r="F220" s="10" t="n">
        <v>2000213.71382203</v>
      </c>
      <c r="G220" s="10" t="n">
        <v>621714.15883323</v>
      </c>
      <c r="H220" s="10" t="n">
        <v>2377301.93984492</v>
      </c>
      <c r="I220" s="10" t="n">
        <v>739890.365480842</v>
      </c>
      <c r="J220" s="10" t="n">
        <v>2188757.82683348</v>
      </c>
      <c r="K220" s="11" t="n">
        <v>1.18852396792258</v>
      </c>
      <c r="L220" s="11" t="n">
        <v>0.249170997141845</v>
      </c>
      <c r="M220" s="11" t="n">
        <v>0.289315090338803</v>
      </c>
      <c r="N220" s="11" t="n">
        <v>0.119723276629385</v>
      </c>
      <c r="O220" s="12" t="n">
        <v>0.362374212783851</v>
      </c>
      <c r="P220" s="12" t="n">
        <v>0.731538085922673</v>
      </c>
      <c r="Q220" s="4" t="n">
        <f aca="false">RANK(N220,$N$7:$N$307,0)</f>
        <v>214</v>
      </c>
      <c r="R220" s="4" t="n">
        <f aca="false">RANK(O220,$O$7:$O$307,1)</f>
        <v>148</v>
      </c>
      <c r="S220" s="4" t="n">
        <f aca="false">RANK(J220,$J$7:$J$307,0)</f>
        <v>170</v>
      </c>
      <c r="T220" s="4" t="str">
        <f aca="false">IF(O220&lt;0.05,"YES","no")</f>
        <v>no</v>
      </c>
      <c r="U220" s="4" t="str">
        <f aca="false">IF(P220&lt;0.05,"YES","no")</f>
        <v>no</v>
      </c>
      <c r="V220" s="4" t="str">
        <f aca="false">IF(N220&gt;1,"YES","no")</f>
        <v>no</v>
      </c>
    </row>
    <row r="221" customFormat="false" ht="15" hidden="false" customHeight="false" outlineLevel="0" collapsed="false">
      <c r="A221" s="4" t="s">
        <v>379</v>
      </c>
      <c r="B221" s="4"/>
      <c r="C221" s="4" t="s">
        <v>72</v>
      </c>
      <c r="D221" s="8" t="n">
        <v>167.99732</v>
      </c>
      <c r="E221" s="9" t="n">
        <v>9.683</v>
      </c>
      <c r="F221" s="10" t="n">
        <v>197227.484765757</v>
      </c>
      <c r="G221" s="10" t="n">
        <v>78110.097750802</v>
      </c>
      <c r="H221" s="10" t="n">
        <v>96816.012469433</v>
      </c>
      <c r="I221" s="10" t="n">
        <v>34449.4781331993</v>
      </c>
      <c r="J221" s="10" t="n">
        <v>147021.748617595</v>
      </c>
      <c r="K221" s="11" t="n">
        <v>0.490884992953285</v>
      </c>
      <c r="L221" s="11" t="n">
        <v>-1.02654303273181</v>
      </c>
      <c r="M221" s="11" t="n">
        <v>0.673477123414052</v>
      </c>
      <c r="N221" s="11" t="n">
        <v>0.118062487618338</v>
      </c>
      <c r="O221" s="12" t="n">
        <v>0.0240865269265129</v>
      </c>
      <c r="P221" s="12" t="n">
        <v>0.478364863336053</v>
      </c>
      <c r="Q221" s="4" t="n">
        <f aca="false">RANK(N221,$N$7:$N$307,0)</f>
        <v>215</v>
      </c>
      <c r="R221" s="4" t="n">
        <f aca="false">RANK(O221,$O$7:$O$307,1)</f>
        <v>13</v>
      </c>
      <c r="S221" s="4" t="n">
        <f aca="false">RANK(J221,$J$7:$J$307,0)</f>
        <v>282</v>
      </c>
      <c r="T221" s="4" t="str">
        <f aca="false">IF(O221&lt;0.05,"YES","no")</f>
        <v>YES</v>
      </c>
      <c r="U221" s="4" t="str">
        <f aca="false">IF(P221&lt;0.05,"YES","no")</f>
        <v>no</v>
      </c>
      <c r="V221" s="4" t="str">
        <f aca="false">IF(N221&gt;1,"YES","no")</f>
        <v>no</v>
      </c>
    </row>
    <row r="222" customFormat="false" ht="15" hidden="false" customHeight="false" outlineLevel="0" collapsed="false">
      <c r="A222" s="4" t="s">
        <v>286</v>
      </c>
      <c r="B222" s="4"/>
      <c r="C222" s="4" t="s">
        <v>72</v>
      </c>
      <c r="D222" s="8" t="n">
        <v>128.03519</v>
      </c>
      <c r="E222" s="9" t="n">
        <v>8.222</v>
      </c>
      <c r="F222" s="10" t="n">
        <v>987468.220248784</v>
      </c>
      <c r="G222" s="10" t="n">
        <v>169483.025884896</v>
      </c>
      <c r="H222" s="10" t="n">
        <v>1207288.16520071</v>
      </c>
      <c r="I222" s="10" t="n">
        <v>606180.475438407</v>
      </c>
      <c r="J222" s="10" t="n">
        <v>1097378.19272475</v>
      </c>
      <c r="K222" s="11" t="n">
        <v>1.22260963993002</v>
      </c>
      <c r="L222" s="11" t="n">
        <v>0.289963847501187</v>
      </c>
      <c r="M222" s="11" t="n">
        <v>0.261132255389059</v>
      </c>
      <c r="N222" s="11" t="n">
        <v>0.115397620026841</v>
      </c>
      <c r="O222" s="12" t="n">
        <v>0.426349301208732</v>
      </c>
      <c r="P222" s="12" t="n">
        <v>0.773079154601376</v>
      </c>
      <c r="Q222" s="4" t="n">
        <f aca="false">RANK(N222,$N$7:$N$307,0)</f>
        <v>216</v>
      </c>
      <c r="R222" s="4" t="n">
        <f aca="false">RANK(O222,$O$7:$O$307,1)</f>
        <v>166</v>
      </c>
      <c r="S222" s="4" t="n">
        <f aca="false">RANK(J222,$J$7:$J$307,0)</f>
        <v>211</v>
      </c>
      <c r="T222" s="4" t="str">
        <f aca="false">IF(O222&lt;0.05,"YES","no")</f>
        <v>no</v>
      </c>
      <c r="U222" s="4" t="str">
        <f aca="false">IF(P222&lt;0.05,"YES","no")</f>
        <v>no</v>
      </c>
      <c r="V222" s="4" t="str">
        <f aca="false">IF(N222&gt;1,"YES","no")</f>
        <v>no</v>
      </c>
    </row>
    <row r="223" customFormat="false" ht="15" hidden="false" customHeight="false" outlineLevel="0" collapsed="false">
      <c r="A223" s="4" t="s">
        <v>237</v>
      </c>
      <c r="B223" s="4"/>
      <c r="C223" s="4" t="s">
        <v>72</v>
      </c>
      <c r="D223" s="8" t="n">
        <v>303.23251</v>
      </c>
      <c r="E223" s="9" t="n">
        <v>3.641</v>
      </c>
      <c r="F223" s="10" t="n">
        <v>4948770.86465294</v>
      </c>
      <c r="G223" s="10" t="n">
        <v>2572356.95183328</v>
      </c>
      <c r="H223" s="10" t="n">
        <v>4336058.6467249</v>
      </c>
      <c r="I223" s="10" t="n">
        <v>2003069.97446343</v>
      </c>
      <c r="J223" s="10" t="n">
        <v>4642414.75568892</v>
      </c>
      <c r="K223" s="11" t="n">
        <v>0.876189010425923</v>
      </c>
      <c r="L223" s="11" t="n">
        <v>-0.190685975071797</v>
      </c>
      <c r="M223" s="11" t="n">
        <v>0.144054246986056</v>
      </c>
      <c r="N223" s="11" t="n">
        <v>0.11279591142399</v>
      </c>
      <c r="O223" s="12" t="n">
        <v>0.655699175079009</v>
      </c>
      <c r="P223" s="12" t="n">
        <v>0.881168181006632</v>
      </c>
      <c r="Q223" s="4" t="n">
        <f aca="false">RANK(N223,$N$7:$N$307,0)</f>
        <v>217</v>
      </c>
      <c r="R223" s="4" t="n">
        <f aca="false">RANK(O223,$O$7:$O$307,1)</f>
        <v>221</v>
      </c>
      <c r="S223" s="4" t="n">
        <f aca="false">RANK(J223,$J$7:$J$307,0)</f>
        <v>131</v>
      </c>
      <c r="T223" s="4" t="str">
        <f aca="false">IF(O223&lt;0.05,"YES","no")</f>
        <v>no</v>
      </c>
      <c r="U223" s="4" t="str">
        <f aca="false">IF(P223&lt;0.05,"YES","no")</f>
        <v>no</v>
      </c>
      <c r="V223" s="4" t="str">
        <f aca="false">IF(N223&gt;1,"YES","no")</f>
        <v>no</v>
      </c>
    </row>
    <row r="224" customFormat="false" ht="15" hidden="false" customHeight="false" outlineLevel="0" collapsed="false">
      <c r="A224" s="4" t="s">
        <v>353</v>
      </c>
      <c r="B224" s="4" t="s">
        <v>354</v>
      </c>
      <c r="C224" s="4" t="s">
        <v>72</v>
      </c>
      <c r="D224" s="8" t="n">
        <v>229.01158</v>
      </c>
      <c r="E224" s="9" t="n">
        <v>10.048</v>
      </c>
      <c r="F224" s="10" t="n">
        <v>568226.71350685</v>
      </c>
      <c r="G224" s="10" t="n">
        <v>175107.721258701</v>
      </c>
      <c r="H224" s="10" t="n">
        <v>842685.986194522</v>
      </c>
      <c r="I224" s="10" t="n">
        <v>562536.630260453</v>
      </c>
      <c r="J224" s="10" t="n">
        <v>705456.349850686</v>
      </c>
      <c r="K224" s="11" t="n">
        <v>1.48301015451003</v>
      </c>
      <c r="L224" s="11" t="n">
        <v>0.568528476289584</v>
      </c>
      <c r="M224" s="11" t="n">
        <v>0.339422442650136</v>
      </c>
      <c r="N224" s="11" t="n">
        <v>0.110412012015008</v>
      </c>
      <c r="O224" s="12" t="n">
        <v>0.297599283876429</v>
      </c>
      <c r="P224" s="12" t="n">
        <v>0.652060151640156</v>
      </c>
      <c r="Q224" s="4" t="n">
        <f aca="false">RANK(N224,$N$7:$N$307,0)</f>
        <v>218</v>
      </c>
      <c r="R224" s="4" t="n">
        <f aca="false">RANK(O224,$O$7:$O$307,1)</f>
        <v>135</v>
      </c>
      <c r="S224" s="4" t="n">
        <f aca="false">RANK(J224,$J$7:$J$307,0)</f>
        <v>228</v>
      </c>
      <c r="T224" s="4" t="str">
        <f aca="false">IF(O224&lt;0.05,"YES","no")</f>
        <v>no</v>
      </c>
      <c r="U224" s="4" t="str">
        <f aca="false">IF(P224&lt;0.05,"YES","no")</f>
        <v>no</v>
      </c>
      <c r="V224" s="4" t="str">
        <f aca="false">IF(N224&gt;1,"YES","no")</f>
        <v>no</v>
      </c>
    </row>
    <row r="225" customFormat="false" ht="15" hidden="false" customHeight="false" outlineLevel="0" collapsed="false">
      <c r="A225" s="4" t="s">
        <v>287</v>
      </c>
      <c r="B225" s="4" t="s">
        <v>142</v>
      </c>
      <c r="C225" s="4" t="s">
        <v>61</v>
      </c>
      <c r="D225" s="8" t="n">
        <v>606.07521</v>
      </c>
      <c r="E225" s="9" t="n">
        <v>8.336</v>
      </c>
      <c r="F225" s="10" t="n">
        <v>615464.204993708</v>
      </c>
      <c r="G225" s="10" t="n">
        <v>253190.312458482</v>
      </c>
      <c r="H225" s="10" t="n">
        <v>584631.944662633</v>
      </c>
      <c r="I225" s="10" t="n">
        <v>316140.006832292</v>
      </c>
      <c r="J225" s="10" t="n">
        <v>600048.07482817</v>
      </c>
      <c r="K225" s="11" t="n">
        <v>0.949904056026474</v>
      </c>
      <c r="L225" s="11" t="n">
        <v>-0.074146291848981</v>
      </c>
      <c r="M225" s="11" t="n">
        <v>0.0588625953446219</v>
      </c>
      <c r="N225" s="11" t="n">
        <v>0.109387190049932</v>
      </c>
      <c r="O225" s="12" t="n">
        <v>0.855984922785443</v>
      </c>
      <c r="P225" s="12" t="n">
        <v>0.923481941786446</v>
      </c>
      <c r="Q225" s="4" t="n">
        <f aca="false">RANK(N225,$N$7:$N$307,0)</f>
        <v>219</v>
      </c>
      <c r="R225" s="4" t="n">
        <f aca="false">RANK(O225,$O$7:$O$307,1)</f>
        <v>279</v>
      </c>
      <c r="S225" s="4" t="n">
        <f aca="false">RANK(J225,$J$7:$J$307,0)</f>
        <v>237</v>
      </c>
      <c r="T225" s="4" t="str">
        <f aca="false">IF(O225&lt;0.05,"YES","no")</f>
        <v>no</v>
      </c>
      <c r="U225" s="4" t="str">
        <f aca="false">IF(P225&lt;0.05,"YES","no")</f>
        <v>no</v>
      </c>
      <c r="V225" s="4" t="str">
        <f aca="false">IF(N225&gt;1,"YES","no")</f>
        <v>no</v>
      </c>
    </row>
    <row r="226" customFormat="false" ht="15" hidden="false" customHeight="false" outlineLevel="0" collapsed="false">
      <c r="A226" s="4" t="s">
        <v>208</v>
      </c>
      <c r="B226" s="4"/>
      <c r="C226" s="4" t="s">
        <v>72</v>
      </c>
      <c r="D226" s="8" t="n">
        <v>153.01939</v>
      </c>
      <c r="E226" s="9" t="n">
        <v>4.016</v>
      </c>
      <c r="F226" s="10" t="n">
        <v>1503288.83454723</v>
      </c>
      <c r="G226" s="10" t="n">
        <v>535730.738086698</v>
      </c>
      <c r="H226" s="10" t="n">
        <v>1698321.81394326</v>
      </c>
      <c r="I226" s="10" t="n">
        <v>530879.628639097</v>
      </c>
      <c r="J226" s="10" t="n">
        <v>1600805.32424524</v>
      </c>
      <c r="K226" s="11" t="n">
        <v>1.12973752941813</v>
      </c>
      <c r="L226" s="11" t="n">
        <v>0.175987631940615</v>
      </c>
      <c r="M226" s="11" t="n">
        <v>0.196402203857519</v>
      </c>
      <c r="N226" s="11" t="n">
        <v>0.108471895269534</v>
      </c>
      <c r="O226" s="12" t="n">
        <v>0.540679030373613</v>
      </c>
      <c r="P226" s="12" t="n">
        <v>0.830328510930906</v>
      </c>
      <c r="Q226" s="4" t="n">
        <f aca="false">RANK(N226,$N$7:$N$307,0)</f>
        <v>220</v>
      </c>
      <c r="R226" s="4" t="n">
        <f aca="false">RANK(O226,$O$7:$O$307,1)</f>
        <v>196</v>
      </c>
      <c r="S226" s="4" t="n">
        <f aca="false">RANK(J226,$J$7:$J$307,0)</f>
        <v>191</v>
      </c>
      <c r="T226" s="4" t="str">
        <f aca="false">IF(O226&lt;0.05,"YES","no")</f>
        <v>no</v>
      </c>
      <c r="U226" s="4" t="str">
        <f aca="false">IF(P226&lt;0.05,"YES","no")</f>
        <v>no</v>
      </c>
      <c r="V226" s="4" t="str">
        <f aca="false">IF(N226&gt;1,"YES","no")</f>
        <v>no</v>
      </c>
    </row>
    <row r="227" customFormat="false" ht="15" hidden="false" customHeight="false" outlineLevel="0" collapsed="false">
      <c r="A227" s="4" t="s">
        <v>186</v>
      </c>
      <c r="B227" s="4" t="s">
        <v>187</v>
      </c>
      <c r="C227" s="4" t="s">
        <v>61</v>
      </c>
      <c r="D227" s="8" t="n">
        <v>131.04618</v>
      </c>
      <c r="E227" s="9" t="n">
        <v>11.044</v>
      </c>
      <c r="F227" s="10" t="n">
        <v>1446273.08408757</v>
      </c>
      <c r="G227" s="10" t="n">
        <v>276074.454003515</v>
      </c>
      <c r="H227" s="10" t="n">
        <v>1258081.84086267</v>
      </c>
      <c r="I227" s="10" t="n">
        <v>72769.4584888621</v>
      </c>
      <c r="J227" s="10" t="n">
        <v>1352177.46247512</v>
      </c>
      <c r="K227" s="11" t="n">
        <v>0.869878486092672</v>
      </c>
      <c r="L227" s="11" t="n">
        <v>-0.201114210886161</v>
      </c>
      <c r="M227" s="11" t="n">
        <v>0.454735255037055</v>
      </c>
      <c r="N227" s="11" t="n">
        <v>0.107960804839299</v>
      </c>
      <c r="O227" s="12" t="n">
        <v>0.160196807838281</v>
      </c>
      <c r="P227" s="12" t="n">
        <v>0.59081559788972</v>
      </c>
      <c r="Q227" s="4" t="n">
        <f aca="false">RANK(N227,$N$7:$N$307,0)</f>
        <v>221</v>
      </c>
      <c r="R227" s="4" t="n">
        <f aca="false">RANK(O227,$O$7:$O$307,1)</f>
        <v>81</v>
      </c>
      <c r="S227" s="4" t="n">
        <f aca="false">RANK(J227,$J$7:$J$307,0)</f>
        <v>201</v>
      </c>
      <c r="T227" s="4" t="str">
        <f aca="false">IF(O227&lt;0.05,"YES","no")</f>
        <v>no</v>
      </c>
      <c r="U227" s="4" t="str">
        <f aca="false">IF(P227&lt;0.05,"YES","no")</f>
        <v>no</v>
      </c>
      <c r="V227" s="4" t="str">
        <f aca="false">IF(N227&gt;1,"YES","no")</f>
        <v>no</v>
      </c>
    </row>
    <row r="228" customFormat="false" ht="15" hidden="false" customHeight="false" outlineLevel="0" collapsed="false">
      <c r="A228" s="4" t="s">
        <v>377</v>
      </c>
      <c r="B228" s="4"/>
      <c r="C228" s="4" t="s">
        <v>72</v>
      </c>
      <c r="D228" s="8" t="n">
        <v>169.12354</v>
      </c>
      <c r="E228" s="9" t="n">
        <v>4.057</v>
      </c>
      <c r="F228" s="10" t="n">
        <v>403927.140557621</v>
      </c>
      <c r="G228" s="10" t="n">
        <v>157833.34589669</v>
      </c>
      <c r="H228" s="10" t="n">
        <v>291385.038910494</v>
      </c>
      <c r="I228" s="10" t="n">
        <v>72886.2632594402</v>
      </c>
      <c r="J228" s="10" t="n">
        <v>347656.089734057</v>
      </c>
      <c r="K228" s="11" t="n">
        <v>0.721380193735527</v>
      </c>
      <c r="L228" s="11" t="n">
        <v>-0.471168281952898</v>
      </c>
      <c r="M228" s="11" t="n">
        <v>0.448240888290046</v>
      </c>
      <c r="N228" s="11" t="n">
        <v>0.107765611374758</v>
      </c>
      <c r="O228" s="12" t="n">
        <v>0.156589884452716</v>
      </c>
      <c r="P228" s="12" t="n">
        <v>0.59081559788972</v>
      </c>
      <c r="Q228" s="4" t="n">
        <f aca="false">RANK(N228,$N$7:$N$307,0)</f>
        <v>222</v>
      </c>
      <c r="R228" s="4" t="n">
        <f aca="false">RANK(O228,$O$7:$O$307,1)</f>
        <v>78</v>
      </c>
      <c r="S228" s="4" t="n">
        <f aca="false">RANK(J228,$J$7:$J$307,0)</f>
        <v>257</v>
      </c>
      <c r="T228" s="4" t="str">
        <f aca="false">IF(O228&lt;0.05,"YES","no")</f>
        <v>no</v>
      </c>
      <c r="U228" s="4" t="str">
        <f aca="false">IF(P228&lt;0.05,"YES","no")</f>
        <v>no</v>
      </c>
      <c r="V228" s="4" t="str">
        <f aca="false">IF(N228&gt;1,"YES","no")</f>
        <v>no</v>
      </c>
    </row>
    <row r="229" customFormat="false" ht="15" hidden="false" customHeight="false" outlineLevel="0" collapsed="false">
      <c r="A229" s="4" t="s">
        <v>234</v>
      </c>
      <c r="B229" s="4"/>
      <c r="C229" s="4" t="s">
        <v>61</v>
      </c>
      <c r="D229" s="8" t="n">
        <v>159.03002</v>
      </c>
      <c r="E229" s="9" t="n">
        <v>8.888</v>
      </c>
      <c r="F229" s="10" t="n">
        <v>200879.729131378</v>
      </c>
      <c r="G229" s="10" t="n">
        <v>71719.2257499822</v>
      </c>
      <c r="H229" s="10" t="n">
        <v>120234.713368923</v>
      </c>
      <c r="I229" s="10" t="n">
        <v>109569.868274731</v>
      </c>
      <c r="J229" s="10" t="n">
        <v>160557.221250151</v>
      </c>
      <c r="K229" s="11" t="n">
        <v>0.598540797963183</v>
      </c>
      <c r="L229" s="11" t="n">
        <v>-0.740478506844514</v>
      </c>
      <c r="M229" s="11" t="n">
        <v>0.430539426014726</v>
      </c>
      <c r="N229" s="11" t="n">
        <v>0.103659689722639</v>
      </c>
      <c r="O229" s="12" t="n">
        <v>0.167184035818624</v>
      </c>
      <c r="P229" s="12" t="n">
        <v>0.59081559788972</v>
      </c>
      <c r="Q229" s="4" t="n">
        <f aca="false">RANK(N229,$N$7:$N$307,0)</f>
        <v>223</v>
      </c>
      <c r="R229" s="4" t="n">
        <f aca="false">RANK(O229,$O$7:$O$307,1)</f>
        <v>83</v>
      </c>
      <c r="S229" s="4" t="n">
        <f aca="false">RANK(J229,$J$7:$J$307,0)</f>
        <v>280</v>
      </c>
      <c r="T229" s="4" t="str">
        <f aca="false">IF(O229&lt;0.05,"YES","no")</f>
        <v>no</v>
      </c>
      <c r="U229" s="4" t="str">
        <f aca="false">IF(P229&lt;0.05,"YES","no")</f>
        <v>no</v>
      </c>
      <c r="V229" s="4" t="str">
        <f aca="false">IF(N229&gt;1,"YES","no")</f>
        <v>no</v>
      </c>
    </row>
    <row r="230" customFormat="false" ht="15" hidden="false" customHeight="false" outlineLevel="0" collapsed="false">
      <c r="A230" s="4" t="s">
        <v>268</v>
      </c>
      <c r="B230" s="4"/>
      <c r="C230" s="4" t="s">
        <v>72</v>
      </c>
      <c r="D230" s="8" t="n">
        <v>96.04431</v>
      </c>
      <c r="E230" s="9" t="n">
        <v>6.894</v>
      </c>
      <c r="F230" s="10" t="n">
        <v>2939341.42138414</v>
      </c>
      <c r="G230" s="10" t="n">
        <v>202933.160889686</v>
      </c>
      <c r="H230" s="10" t="n">
        <v>3042835.1058646</v>
      </c>
      <c r="I230" s="10" t="n">
        <v>489615.76744847</v>
      </c>
      <c r="J230" s="10" t="n">
        <v>2991088.26362437</v>
      </c>
      <c r="K230" s="11" t="n">
        <v>1.03520982071954</v>
      </c>
      <c r="L230" s="11" t="n">
        <v>0.04992320891541</v>
      </c>
      <c r="M230" s="11" t="n">
        <v>0.149553799419044</v>
      </c>
      <c r="N230" s="11" t="n">
        <v>0.102077489814856</v>
      </c>
      <c r="O230" s="12" t="n">
        <v>0.647710712315467</v>
      </c>
      <c r="P230" s="12" t="n">
        <v>0.881168181006632</v>
      </c>
      <c r="Q230" s="4" t="n">
        <f aca="false">RANK(N230,$N$7:$N$307,0)</f>
        <v>224</v>
      </c>
      <c r="R230" s="4" t="n">
        <f aca="false">RANK(O230,$O$7:$O$307,1)</f>
        <v>218</v>
      </c>
      <c r="S230" s="4" t="n">
        <f aca="false">RANK(J230,$J$7:$J$307,0)</f>
        <v>156</v>
      </c>
      <c r="T230" s="4" t="str">
        <f aca="false">IF(O230&lt;0.05,"YES","no")</f>
        <v>no</v>
      </c>
      <c r="U230" s="4" t="str">
        <f aca="false">IF(P230&lt;0.05,"YES","no")</f>
        <v>no</v>
      </c>
      <c r="V230" s="4" t="str">
        <f aca="false">IF(N230&gt;1,"YES","no")</f>
        <v>no</v>
      </c>
    </row>
    <row r="231" customFormat="false" ht="15" hidden="false" customHeight="false" outlineLevel="0" collapsed="false">
      <c r="A231" s="4" t="s">
        <v>329</v>
      </c>
      <c r="B231" s="4" t="s">
        <v>330</v>
      </c>
      <c r="C231" s="4" t="s">
        <v>72</v>
      </c>
      <c r="D231" s="8" t="n">
        <v>146.16515</v>
      </c>
      <c r="E231" s="9" t="n">
        <v>14.215</v>
      </c>
      <c r="F231" s="10" t="n">
        <v>7239487.86051755</v>
      </c>
      <c r="G231" s="10" t="n">
        <v>884355.279231708</v>
      </c>
      <c r="H231" s="10" t="n">
        <v>6923984.07369547</v>
      </c>
      <c r="I231" s="10" t="n">
        <v>826763.181976229</v>
      </c>
      <c r="J231" s="10" t="n">
        <v>7081735.96710651</v>
      </c>
      <c r="K231" s="11" t="n">
        <v>0.956419046084356</v>
      </c>
      <c r="L231" s="11" t="n">
        <v>-0.0642852347898794</v>
      </c>
      <c r="M231" s="11" t="n">
        <v>0.197877241029182</v>
      </c>
      <c r="N231" s="11" t="n">
        <v>0.0997678020498989</v>
      </c>
      <c r="O231" s="12" t="n">
        <v>0.537643695440288</v>
      </c>
      <c r="P231" s="12" t="n">
        <v>0.829901293987316</v>
      </c>
      <c r="Q231" s="4" t="n">
        <f aca="false">RANK(N231,$N$7:$N$307,0)</f>
        <v>225</v>
      </c>
      <c r="R231" s="4" t="n">
        <f aca="false">RANK(O231,$O$7:$O$307,1)</f>
        <v>195</v>
      </c>
      <c r="S231" s="4" t="n">
        <f aca="false">RANK(J231,$J$7:$J$307,0)</f>
        <v>112</v>
      </c>
      <c r="T231" s="4" t="str">
        <f aca="false">IF(O231&lt;0.05,"YES","no")</f>
        <v>no</v>
      </c>
      <c r="U231" s="4" t="str">
        <f aca="false">IF(P231&lt;0.05,"YES","no")</f>
        <v>no</v>
      </c>
      <c r="V231" s="4" t="str">
        <f aca="false">IF(N231&gt;1,"YES","no")</f>
        <v>no</v>
      </c>
    </row>
    <row r="232" customFormat="false" ht="15" hidden="false" customHeight="false" outlineLevel="0" collapsed="false">
      <c r="A232" s="4" t="s">
        <v>277</v>
      </c>
      <c r="B232" s="4" t="s">
        <v>278</v>
      </c>
      <c r="C232" s="4" t="s">
        <v>72</v>
      </c>
      <c r="D232" s="8" t="n">
        <v>141.06581</v>
      </c>
      <c r="E232" s="9" t="n">
        <v>8.483</v>
      </c>
      <c r="F232" s="10" t="n">
        <v>1662793.34166851</v>
      </c>
      <c r="G232" s="10" t="n">
        <v>508242.364080344</v>
      </c>
      <c r="H232" s="10" t="n">
        <v>1518297.71348013</v>
      </c>
      <c r="I232" s="10" t="n">
        <v>396102.343621037</v>
      </c>
      <c r="J232" s="10" t="n">
        <v>1590545.52757432</v>
      </c>
      <c r="K232" s="11" t="n">
        <v>0.913100669477435</v>
      </c>
      <c r="L232" s="11" t="n">
        <v>-0.13115416857769</v>
      </c>
      <c r="M232" s="11" t="n">
        <v>0.171136663480705</v>
      </c>
      <c r="N232" s="11" t="n">
        <v>0.0988322810359457</v>
      </c>
      <c r="O232" s="12" t="n">
        <v>0.595566840846173</v>
      </c>
      <c r="P232" s="12" t="n">
        <v>0.857730234902861</v>
      </c>
      <c r="Q232" s="4" t="n">
        <f aca="false">RANK(N232,$N$7:$N$307,0)</f>
        <v>226</v>
      </c>
      <c r="R232" s="4" t="n">
        <f aca="false">RANK(O232,$O$7:$O$307,1)</f>
        <v>209</v>
      </c>
      <c r="S232" s="4" t="n">
        <f aca="false">RANK(J232,$J$7:$J$307,0)</f>
        <v>193</v>
      </c>
      <c r="T232" s="4" t="str">
        <f aca="false">IF(O232&lt;0.05,"YES","no")</f>
        <v>no</v>
      </c>
      <c r="U232" s="4" t="str">
        <f aca="false">IF(P232&lt;0.05,"YES","no")</f>
        <v>no</v>
      </c>
      <c r="V232" s="4" t="str">
        <f aca="false">IF(N232&gt;1,"YES","no")</f>
        <v>no</v>
      </c>
    </row>
    <row r="233" customFormat="false" ht="15" hidden="false" customHeight="false" outlineLevel="0" collapsed="false">
      <c r="A233" s="4" t="s">
        <v>304</v>
      </c>
      <c r="B233" s="4"/>
      <c r="C233" s="4" t="s">
        <v>61</v>
      </c>
      <c r="D233" s="8" t="n">
        <v>130.04979</v>
      </c>
      <c r="E233" s="9" t="n">
        <v>7.367</v>
      </c>
      <c r="F233" s="10" t="n">
        <v>630654.813873259</v>
      </c>
      <c r="G233" s="10" t="n">
        <v>129093.967015775</v>
      </c>
      <c r="H233" s="10" t="n">
        <v>778928.778715518</v>
      </c>
      <c r="I233" s="10" t="n">
        <v>195811.463278506</v>
      </c>
      <c r="J233" s="10" t="n">
        <v>704791.796294388</v>
      </c>
      <c r="K233" s="11" t="n">
        <v>1.23511112827572</v>
      </c>
      <c r="L233" s="11" t="n">
        <v>0.304640853145615</v>
      </c>
      <c r="M233" s="11" t="n">
        <v>0.43979791875473</v>
      </c>
      <c r="N233" s="11" t="n">
        <v>0.0975892006816215</v>
      </c>
      <c r="O233" s="12" t="n">
        <v>0.157227601753413</v>
      </c>
      <c r="P233" s="12" t="n">
        <v>0.59081559788972</v>
      </c>
      <c r="Q233" s="4" t="n">
        <f aca="false">RANK(N233,$N$7:$N$307,0)</f>
        <v>227</v>
      </c>
      <c r="R233" s="4" t="n">
        <f aca="false">RANK(O233,$O$7:$O$307,1)</f>
        <v>79</v>
      </c>
      <c r="S233" s="4" t="n">
        <f aca="false">RANK(J233,$J$7:$J$307,0)</f>
        <v>229</v>
      </c>
      <c r="T233" s="4" t="str">
        <f aca="false">IF(O233&lt;0.05,"YES","no")</f>
        <v>no</v>
      </c>
      <c r="U233" s="4" t="str">
        <f aca="false">IF(P233&lt;0.05,"YES","no")</f>
        <v>no</v>
      </c>
      <c r="V233" s="4" t="str">
        <f aca="false">IF(N233&gt;1,"YES","no")</f>
        <v>no</v>
      </c>
    </row>
    <row r="234" customFormat="false" ht="15" hidden="false" customHeight="false" outlineLevel="0" collapsed="false">
      <c r="A234" s="4" t="s">
        <v>205</v>
      </c>
      <c r="B234" s="4"/>
      <c r="C234" s="4" t="s">
        <v>61</v>
      </c>
      <c r="D234" s="8" t="n">
        <v>133.06076</v>
      </c>
      <c r="E234" s="9" t="n">
        <v>8.774</v>
      </c>
      <c r="F234" s="10" t="n">
        <v>1395966.87630108</v>
      </c>
      <c r="G234" s="10" t="n">
        <v>1280511.52301009</v>
      </c>
      <c r="H234" s="10" t="n">
        <v>1584909.85552154</v>
      </c>
      <c r="I234" s="10" t="n">
        <v>622265.723435523</v>
      </c>
      <c r="J234" s="10" t="n">
        <v>1490438.36591131</v>
      </c>
      <c r="K234" s="11" t="n">
        <v>1.13534918516197</v>
      </c>
      <c r="L234" s="11" t="n">
        <v>0.183136077449948</v>
      </c>
      <c r="M234" s="11" t="n">
        <v>0.102259798038297</v>
      </c>
      <c r="N234" s="11" t="n">
        <v>0.0974225544074462</v>
      </c>
      <c r="O234" s="12" t="n">
        <v>0.754318865659659</v>
      </c>
      <c r="P234" s="12" t="n">
        <v>0.908199914254229</v>
      </c>
      <c r="Q234" s="4" t="n">
        <f aca="false">RANK(N234,$N$7:$N$307,0)</f>
        <v>228</v>
      </c>
      <c r="R234" s="4" t="n">
        <f aca="false">RANK(O234,$O$7:$O$307,1)</f>
        <v>250</v>
      </c>
      <c r="S234" s="4" t="n">
        <f aca="false">RANK(J234,$J$7:$J$307,0)</f>
        <v>197</v>
      </c>
      <c r="T234" s="4" t="str">
        <f aca="false">IF(O234&lt;0.05,"YES","no")</f>
        <v>no</v>
      </c>
      <c r="U234" s="4" t="str">
        <f aca="false">IF(P234&lt;0.05,"YES","no")</f>
        <v>no</v>
      </c>
      <c r="V234" s="4" t="str">
        <f aca="false">IF(N234&gt;1,"YES","no")</f>
        <v>no</v>
      </c>
    </row>
    <row r="235" customFormat="false" ht="15" hidden="false" customHeight="false" outlineLevel="0" collapsed="false">
      <c r="A235" s="4" t="s">
        <v>340</v>
      </c>
      <c r="B235" s="4"/>
      <c r="C235" s="4" t="s">
        <v>72</v>
      </c>
      <c r="D235" s="8" t="n">
        <v>118.04975</v>
      </c>
      <c r="E235" s="9" t="n">
        <v>7.787</v>
      </c>
      <c r="F235" s="10" t="n">
        <v>248953.188043953</v>
      </c>
      <c r="G235" s="10" t="n">
        <v>131823.206062269</v>
      </c>
      <c r="H235" s="10" t="n">
        <v>129256.300388009</v>
      </c>
      <c r="I235" s="10" t="n">
        <v>74000.1979687564</v>
      </c>
      <c r="J235" s="10" t="n">
        <v>189104.744215981</v>
      </c>
      <c r="K235" s="11" t="n">
        <v>0.519199217345185</v>
      </c>
      <c r="L235" s="11" t="n">
        <v>-0.945639886305841</v>
      </c>
      <c r="M235" s="11" t="n">
        <v>0.522816856323141</v>
      </c>
      <c r="N235" s="11" t="n">
        <v>0.0973337714338594</v>
      </c>
      <c r="O235" s="12" t="n">
        <v>0.089034828440581</v>
      </c>
      <c r="P235" s="12" t="n">
        <v>0.545525735104785</v>
      </c>
      <c r="Q235" s="4" t="n">
        <f aca="false">RANK(N235,$N$7:$N$307,0)</f>
        <v>229</v>
      </c>
      <c r="R235" s="4" t="n">
        <f aca="false">RANK(O235,$O$7:$O$307,1)</f>
        <v>46</v>
      </c>
      <c r="S235" s="4" t="n">
        <f aca="false">RANK(J235,$J$7:$J$307,0)</f>
        <v>277</v>
      </c>
      <c r="T235" s="4" t="str">
        <f aca="false">IF(O235&lt;0.05,"YES","no")</f>
        <v>no</v>
      </c>
      <c r="U235" s="4" t="str">
        <f aca="false">IF(P235&lt;0.05,"YES","no")</f>
        <v>no</v>
      </c>
      <c r="V235" s="4" t="str">
        <f aca="false">IF(N235&gt;1,"YES","no")</f>
        <v>no</v>
      </c>
    </row>
    <row r="236" customFormat="false" ht="15" hidden="false" customHeight="false" outlineLevel="0" collapsed="false">
      <c r="A236" s="4" t="s">
        <v>380</v>
      </c>
      <c r="B236" s="4"/>
      <c r="C236" s="4" t="s">
        <v>72</v>
      </c>
      <c r="D236" s="8" t="n">
        <v>744.08613</v>
      </c>
      <c r="E236" s="9" t="n">
        <v>9.886</v>
      </c>
      <c r="F236" s="10" t="n">
        <v>267374.404279899</v>
      </c>
      <c r="G236" s="10" t="n">
        <v>85787.1525555654</v>
      </c>
      <c r="H236" s="10" t="n">
        <v>407040.86039762</v>
      </c>
      <c r="I236" s="10" t="n">
        <v>190190.768151401</v>
      </c>
      <c r="J236" s="10" t="n">
        <v>337207.63233876</v>
      </c>
      <c r="K236" s="11" t="n">
        <v>1.52236285105104</v>
      </c>
      <c r="L236" s="11" t="n">
        <v>0.606312262272164</v>
      </c>
      <c r="M236" s="11" t="n">
        <v>0.460316610940721</v>
      </c>
      <c r="N236" s="11" t="n">
        <v>0.0959719983499608</v>
      </c>
      <c r="O236" s="12" t="n">
        <v>0.145361235454644</v>
      </c>
      <c r="P236" s="12" t="n">
        <v>0.59081559788972</v>
      </c>
      <c r="Q236" s="4" t="n">
        <f aca="false">RANK(N236,$N$7:$N$307,0)</f>
        <v>230</v>
      </c>
      <c r="R236" s="4" t="n">
        <f aca="false">RANK(O236,$O$7:$O$307,1)</f>
        <v>71</v>
      </c>
      <c r="S236" s="4" t="n">
        <f aca="false">RANK(J236,$J$7:$J$307,0)</f>
        <v>258</v>
      </c>
      <c r="T236" s="4" t="str">
        <f aca="false">IF(O236&lt;0.05,"YES","no")</f>
        <v>no</v>
      </c>
      <c r="U236" s="4" t="str">
        <f aca="false">IF(P236&lt;0.05,"YES","no")</f>
        <v>no</v>
      </c>
      <c r="V236" s="4" t="str">
        <f aca="false">IF(N236&gt;1,"YES","no")</f>
        <v>no</v>
      </c>
    </row>
    <row r="237" customFormat="false" ht="15" hidden="false" customHeight="false" outlineLevel="0" collapsed="false">
      <c r="A237" s="4" t="s">
        <v>263</v>
      </c>
      <c r="B237" s="4"/>
      <c r="C237" s="4" t="s">
        <v>61</v>
      </c>
      <c r="D237" s="8" t="n">
        <v>308.09847</v>
      </c>
      <c r="E237" s="9" t="n">
        <v>9.023</v>
      </c>
      <c r="F237" s="10" t="n">
        <v>1405324.47348244</v>
      </c>
      <c r="G237" s="10" t="n">
        <v>271854.258378267</v>
      </c>
      <c r="H237" s="10" t="n">
        <v>1411659.8118375</v>
      </c>
      <c r="I237" s="10" t="n">
        <v>352813.389617157</v>
      </c>
      <c r="J237" s="10" t="n">
        <v>1408492.14265997</v>
      </c>
      <c r="K237" s="11" t="n">
        <v>1.00450809651052</v>
      </c>
      <c r="L237" s="11" t="n">
        <v>0.00648919249181688</v>
      </c>
      <c r="M237" s="11" t="n">
        <v>0.0110171159732863</v>
      </c>
      <c r="N237" s="11" t="n">
        <v>0.0956666119332603</v>
      </c>
      <c r="O237" s="12" t="n">
        <v>0.972935765215533</v>
      </c>
      <c r="P237" s="12" t="n">
        <v>0.989368651164266</v>
      </c>
      <c r="Q237" s="4" t="n">
        <f aca="false">RANK(N237,$N$7:$N$307,0)</f>
        <v>231</v>
      </c>
      <c r="R237" s="4" t="n">
        <f aca="false">RANK(O237,$O$7:$O$307,1)</f>
        <v>296</v>
      </c>
      <c r="S237" s="4" t="n">
        <f aca="false">RANK(J237,$J$7:$J$307,0)</f>
        <v>199</v>
      </c>
      <c r="T237" s="4" t="str">
        <f aca="false">IF(O237&lt;0.05,"YES","no")</f>
        <v>no</v>
      </c>
      <c r="U237" s="4" t="str">
        <f aca="false">IF(P237&lt;0.05,"YES","no")</f>
        <v>no</v>
      </c>
      <c r="V237" s="4" t="str">
        <f aca="false">IF(N237&gt;1,"YES","no")</f>
        <v>no</v>
      </c>
    </row>
    <row r="238" customFormat="false" ht="15" hidden="false" customHeight="false" outlineLevel="0" collapsed="false">
      <c r="A238" s="4" t="s">
        <v>198</v>
      </c>
      <c r="B238" s="4" t="s">
        <v>199</v>
      </c>
      <c r="C238" s="4" t="s">
        <v>61</v>
      </c>
      <c r="D238" s="8" t="n">
        <v>259.02216</v>
      </c>
      <c r="E238" s="9" t="n">
        <v>10.206</v>
      </c>
      <c r="F238" s="10" t="n">
        <v>27695332.252415</v>
      </c>
      <c r="G238" s="10" t="n">
        <v>13088078.5637586</v>
      </c>
      <c r="H238" s="10" t="n">
        <v>27669203.4278421</v>
      </c>
      <c r="I238" s="10" t="n">
        <v>21385517.6045455</v>
      </c>
      <c r="J238" s="10" t="n">
        <v>27682267.8401285</v>
      </c>
      <c r="K238" s="11" t="n">
        <v>0.999056562155138</v>
      </c>
      <c r="L238" s="11" t="n">
        <v>-0.00136173555765077</v>
      </c>
      <c r="M238" s="11" t="n">
        <v>0.000807225709395807</v>
      </c>
      <c r="N238" s="11" t="n">
        <v>0.0941995925104229</v>
      </c>
      <c r="O238" s="12" t="n">
        <v>0.998023664598992</v>
      </c>
      <c r="P238" s="12" t="n">
        <v>0.998023664598992</v>
      </c>
      <c r="Q238" s="4" t="n">
        <f aca="false">RANK(N238,$N$7:$N$307,0)</f>
        <v>232</v>
      </c>
      <c r="R238" s="4" t="n">
        <f aca="false">RANK(O238,$O$7:$O$307,1)</f>
        <v>301</v>
      </c>
      <c r="S238" s="4" t="n">
        <f aca="false">RANK(J238,$J$7:$J$307,0)</f>
        <v>63</v>
      </c>
      <c r="T238" s="4" t="str">
        <f aca="false">IF(O238&lt;0.05,"YES","no")</f>
        <v>no</v>
      </c>
      <c r="U238" s="4" t="str">
        <f aca="false">IF(P238&lt;0.05,"YES","no")</f>
        <v>no</v>
      </c>
      <c r="V238" s="4" t="str">
        <f aca="false">IF(N238&gt;1,"YES","no")</f>
        <v>no</v>
      </c>
    </row>
    <row r="239" customFormat="false" ht="15" hidden="false" customHeight="false" outlineLevel="0" collapsed="false">
      <c r="A239" s="4" t="s">
        <v>294</v>
      </c>
      <c r="B239" s="4"/>
      <c r="C239" s="4" t="s">
        <v>61</v>
      </c>
      <c r="D239" s="8" t="n">
        <v>304.03389</v>
      </c>
      <c r="E239" s="9" t="n">
        <v>8.879</v>
      </c>
      <c r="F239" s="10" t="n">
        <v>121761.12738403</v>
      </c>
      <c r="G239" s="10" t="n">
        <v>36196.602173991</v>
      </c>
      <c r="H239" s="10" t="n">
        <v>51666.6446255871</v>
      </c>
      <c r="I239" s="10" t="n">
        <v>15895.8244498811</v>
      </c>
      <c r="J239" s="10" t="n">
        <v>86713.8860048086</v>
      </c>
      <c r="K239" s="11" t="n">
        <v>0.424327909371539</v>
      </c>
      <c r="L239" s="11" t="n">
        <v>-1.23674852258038</v>
      </c>
      <c r="M239" s="11" t="n">
        <v>0.808410678407579</v>
      </c>
      <c r="N239" s="11" t="n">
        <v>0.0936974565646055</v>
      </c>
      <c r="O239" s="12" t="n">
        <v>0.00354907706667548</v>
      </c>
      <c r="P239" s="12" t="n">
        <v>0.4478778750797</v>
      </c>
      <c r="Q239" s="4" t="n">
        <f aca="false">RANK(N239,$N$7:$N$307,0)</f>
        <v>233</v>
      </c>
      <c r="R239" s="4" t="n">
        <f aca="false">RANK(O239,$O$7:$O$307,1)</f>
        <v>2</v>
      </c>
      <c r="S239" s="4" t="n">
        <f aca="false">RANK(J239,$J$7:$J$307,0)</f>
        <v>289</v>
      </c>
      <c r="T239" s="4" t="str">
        <f aca="false">IF(O239&lt;0.05,"YES","no")</f>
        <v>YES</v>
      </c>
      <c r="U239" s="4" t="str">
        <f aca="false">IF(P239&lt;0.05,"YES","no")</f>
        <v>no</v>
      </c>
      <c r="V239" s="4" t="str">
        <f aca="false">IF(N239&gt;1,"YES","no")</f>
        <v>no</v>
      </c>
    </row>
    <row r="240" customFormat="false" ht="15" hidden="false" customHeight="false" outlineLevel="0" collapsed="false">
      <c r="A240" s="4" t="s">
        <v>274</v>
      </c>
      <c r="B240" s="4"/>
      <c r="C240" s="4" t="s">
        <v>72</v>
      </c>
      <c r="D240" s="8" t="n">
        <v>263.13899</v>
      </c>
      <c r="E240" s="9" t="n">
        <v>6.847</v>
      </c>
      <c r="F240" s="10" t="n">
        <v>500652.327879161</v>
      </c>
      <c r="G240" s="10" t="n">
        <v>81578.6918668805</v>
      </c>
      <c r="H240" s="10" t="n">
        <v>651580.537271929</v>
      </c>
      <c r="I240" s="10" t="n">
        <v>226481.776421094</v>
      </c>
      <c r="J240" s="10" t="n">
        <v>576116.432575545</v>
      </c>
      <c r="K240" s="11" t="n">
        <v>1.30146311319898</v>
      </c>
      <c r="L240" s="11" t="n">
        <v>0.380134422645563</v>
      </c>
      <c r="M240" s="11" t="n">
        <v>0.436856674060175</v>
      </c>
      <c r="N240" s="11" t="n">
        <v>0.0931693442878158</v>
      </c>
      <c r="O240" s="12" t="n">
        <v>0.173349652310008</v>
      </c>
      <c r="P240" s="12" t="n">
        <v>0.59081559788972</v>
      </c>
      <c r="Q240" s="4" t="n">
        <f aca="false">RANK(N240,$N$7:$N$307,0)</f>
        <v>234</v>
      </c>
      <c r="R240" s="4" t="n">
        <f aca="false">RANK(O240,$O$7:$O$307,1)</f>
        <v>86</v>
      </c>
      <c r="S240" s="4" t="n">
        <f aca="false">RANK(J240,$J$7:$J$307,0)</f>
        <v>239</v>
      </c>
      <c r="T240" s="4" t="str">
        <f aca="false">IF(O240&lt;0.05,"YES","no")</f>
        <v>no</v>
      </c>
      <c r="U240" s="4" t="str">
        <f aca="false">IF(P240&lt;0.05,"YES","no")</f>
        <v>no</v>
      </c>
      <c r="V240" s="4" t="str">
        <f aca="false">IF(N240&gt;1,"YES","no")</f>
        <v>no</v>
      </c>
    </row>
    <row r="241" customFormat="false" ht="15" hidden="false" customHeight="false" outlineLevel="0" collapsed="false">
      <c r="A241" s="4" t="s">
        <v>376</v>
      </c>
      <c r="B241" s="4"/>
      <c r="C241" s="4" t="s">
        <v>72</v>
      </c>
      <c r="D241" s="8" t="n">
        <v>129.0658</v>
      </c>
      <c r="E241" s="9" t="n">
        <v>8.019</v>
      </c>
      <c r="F241" s="10" t="n">
        <v>1149895.66118454</v>
      </c>
      <c r="G241" s="10" t="n">
        <v>795622.729884233</v>
      </c>
      <c r="H241" s="10" t="n">
        <v>1430220.89106994</v>
      </c>
      <c r="I241" s="10" t="n">
        <v>1142506.40284114</v>
      </c>
      <c r="J241" s="10" t="n">
        <v>1290058.27612724</v>
      </c>
      <c r="K241" s="11" t="n">
        <v>1.24378318776907</v>
      </c>
      <c r="L241" s="11" t="n">
        <v>0.3147350214883</v>
      </c>
      <c r="M241" s="11" t="n">
        <v>0.15410063382291</v>
      </c>
      <c r="N241" s="11" t="n">
        <v>0.0907935200675391</v>
      </c>
      <c r="O241" s="12" t="n">
        <v>0.633776942739386</v>
      </c>
      <c r="P241" s="12" t="n">
        <v>0.881168181006632</v>
      </c>
      <c r="Q241" s="4" t="n">
        <f aca="false">RANK(N241,$N$7:$N$307,0)</f>
        <v>235</v>
      </c>
      <c r="R241" s="4" t="n">
        <f aca="false">RANK(O241,$O$7:$O$307,1)</f>
        <v>214</v>
      </c>
      <c r="S241" s="4" t="n">
        <f aca="false">RANK(J241,$J$7:$J$307,0)</f>
        <v>203</v>
      </c>
      <c r="T241" s="4" t="str">
        <f aca="false">IF(O241&lt;0.05,"YES","no")</f>
        <v>no</v>
      </c>
      <c r="U241" s="4" t="str">
        <f aca="false">IF(P241&lt;0.05,"YES","no")</f>
        <v>no</v>
      </c>
      <c r="V241" s="4" t="str">
        <f aca="false">IF(N241&gt;1,"YES","no")</f>
        <v>no</v>
      </c>
    </row>
    <row r="242" customFormat="false" ht="15" hidden="false" customHeight="false" outlineLevel="0" collapsed="false">
      <c r="A242" s="4" t="s">
        <v>410</v>
      </c>
      <c r="B242" s="4" t="s">
        <v>411</v>
      </c>
      <c r="C242" s="4" t="s">
        <v>72</v>
      </c>
      <c r="D242" s="8" t="n">
        <v>542.06863</v>
      </c>
      <c r="E242" s="9" t="n">
        <v>8.412</v>
      </c>
      <c r="F242" s="10" t="n">
        <v>160300.667652412</v>
      </c>
      <c r="G242" s="10" t="n">
        <v>110998.046417012</v>
      </c>
      <c r="H242" s="10" t="n">
        <v>284224.332541383</v>
      </c>
      <c r="I242" s="10" t="n">
        <v>149493.330485781</v>
      </c>
      <c r="J242" s="10" t="n">
        <v>222262.500096898</v>
      </c>
      <c r="K242" s="11" t="n">
        <v>1.77307017309298</v>
      </c>
      <c r="L242" s="11" t="n">
        <v>0.826249635147968</v>
      </c>
      <c r="M242" s="11" t="n">
        <v>0.458227751188148</v>
      </c>
      <c r="N242" s="11" t="n">
        <v>0.0877248714617724</v>
      </c>
      <c r="O242" s="12" t="n">
        <v>0.136647260968514</v>
      </c>
      <c r="P242" s="12" t="n">
        <v>0.59081559788972</v>
      </c>
      <c r="Q242" s="4" t="n">
        <f aca="false">RANK(N242,$N$7:$N$307,0)</f>
        <v>236</v>
      </c>
      <c r="R242" s="4" t="n">
        <f aca="false">RANK(O242,$O$7:$O$307,1)</f>
        <v>68</v>
      </c>
      <c r="S242" s="4" t="n">
        <f aca="false">RANK(J242,$J$7:$J$307,0)</f>
        <v>273</v>
      </c>
      <c r="T242" s="4" t="str">
        <f aca="false">IF(O242&lt;0.05,"YES","no")</f>
        <v>no</v>
      </c>
      <c r="U242" s="4" t="str">
        <f aca="false">IF(P242&lt;0.05,"YES","no")</f>
        <v>no</v>
      </c>
      <c r="V242" s="4" t="str">
        <f aca="false">IF(N242&gt;1,"YES","no")</f>
        <v>no</v>
      </c>
    </row>
    <row r="243" customFormat="false" ht="15" hidden="false" customHeight="false" outlineLevel="0" collapsed="false">
      <c r="A243" s="4" t="s">
        <v>401</v>
      </c>
      <c r="B243" s="4" t="s">
        <v>402</v>
      </c>
      <c r="C243" s="4" t="s">
        <v>61</v>
      </c>
      <c r="D243" s="8" t="n">
        <v>335.06412</v>
      </c>
      <c r="E243" s="9" t="n">
        <v>10.639</v>
      </c>
      <c r="F243" s="10" t="n">
        <v>451266.099605728</v>
      </c>
      <c r="G243" s="10" t="n">
        <v>218737.558577253</v>
      </c>
      <c r="H243" s="10" t="n">
        <v>407409.92190985</v>
      </c>
      <c r="I243" s="10" t="n">
        <v>174680.14791789</v>
      </c>
      <c r="J243" s="10" t="n">
        <v>429338.010757789</v>
      </c>
      <c r="K243" s="11" t="n">
        <v>0.902815261917094</v>
      </c>
      <c r="L243" s="11" t="n">
        <v>-0.147497287671307</v>
      </c>
      <c r="M243" s="11" t="n">
        <v>0.120472115120772</v>
      </c>
      <c r="N243" s="11" t="n">
        <v>0.0875755646841071</v>
      </c>
      <c r="O243" s="12" t="n">
        <v>0.709574459459479</v>
      </c>
      <c r="P243" s="12" t="n">
        <v>0.893648168607963</v>
      </c>
      <c r="Q243" s="4" t="n">
        <f aca="false">RANK(N243,$N$7:$N$307,0)</f>
        <v>237</v>
      </c>
      <c r="R243" s="4" t="n">
        <f aca="false">RANK(O243,$O$7:$O$307,1)</f>
        <v>239</v>
      </c>
      <c r="S243" s="4" t="n">
        <f aca="false">RANK(J243,$J$7:$J$307,0)</f>
        <v>246</v>
      </c>
      <c r="T243" s="4" t="str">
        <f aca="false">IF(O243&lt;0.05,"YES","no")</f>
        <v>no</v>
      </c>
      <c r="U243" s="4" t="str">
        <f aca="false">IF(P243&lt;0.05,"YES","no")</f>
        <v>no</v>
      </c>
      <c r="V243" s="4" t="str">
        <f aca="false">IF(N243&gt;1,"YES","no")</f>
        <v>no</v>
      </c>
    </row>
    <row r="244" customFormat="false" ht="15" hidden="false" customHeight="false" outlineLevel="0" collapsed="false">
      <c r="A244" s="4" t="s">
        <v>251</v>
      </c>
      <c r="B244" s="4"/>
      <c r="C244" s="4" t="s">
        <v>61</v>
      </c>
      <c r="D244" s="8" t="n">
        <v>261.03698</v>
      </c>
      <c r="E244" s="9" t="n">
        <v>10.336</v>
      </c>
      <c r="F244" s="10" t="n">
        <v>5459786.90329455</v>
      </c>
      <c r="G244" s="10" t="n">
        <v>5042050.87013492</v>
      </c>
      <c r="H244" s="10" t="n">
        <v>4881905.31193503</v>
      </c>
      <c r="I244" s="10" t="n">
        <v>4872013.5131345</v>
      </c>
      <c r="J244" s="10" t="n">
        <v>5170846.10761479</v>
      </c>
      <c r="K244" s="11" t="n">
        <v>0.894156749778859</v>
      </c>
      <c r="L244" s="11" t="n">
        <v>-0.161400330251045</v>
      </c>
      <c r="M244" s="11" t="n">
        <v>0.0637133735470927</v>
      </c>
      <c r="N244" s="11" t="n">
        <v>0.0875717987254721</v>
      </c>
      <c r="O244" s="12" t="n">
        <v>0.844055614324521</v>
      </c>
      <c r="P244" s="12" t="n">
        <v>0.923481941786446</v>
      </c>
      <c r="Q244" s="4" t="n">
        <f aca="false">RANK(N244,$N$7:$N$307,0)</f>
        <v>238</v>
      </c>
      <c r="R244" s="4" t="n">
        <f aca="false">RANK(O244,$O$7:$O$307,1)</f>
        <v>271</v>
      </c>
      <c r="S244" s="4" t="n">
        <f aca="false">RANK(J244,$J$7:$J$307,0)</f>
        <v>126</v>
      </c>
      <c r="T244" s="4" t="str">
        <f aca="false">IF(O244&lt;0.05,"YES","no")</f>
        <v>no</v>
      </c>
      <c r="U244" s="4" t="str">
        <f aca="false">IF(P244&lt;0.05,"YES","no")</f>
        <v>no</v>
      </c>
      <c r="V244" s="4" t="str">
        <f aca="false">IF(N244&gt;1,"YES","no")</f>
        <v>no</v>
      </c>
    </row>
    <row r="245" customFormat="false" ht="15" hidden="false" customHeight="false" outlineLevel="0" collapsed="false">
      <c r="A245" s="4" t="s">
        <v>258</v>
      </c>
      <c r="B245" s="4"/>
      <c r="C245" s="4" t="s">
        <v>61</v>
      </c>
      <c r="D245" s="8" t="n">
        <v>172.09791</v>
      </c>
      <c r="E245" s="9" t="n">
        <v>4.867</v>
      </c>
      <c r="F245" s="10" t="n">
        <v>495516.384461106</v>
      </c>
      <c r="G245" s="10" t="n">
        <v>353176.473338951</v>
      </c>
      <c r="H245" s="10" t="n">
        <v>347511.270291959</v>
      </c>
      <c r="I245" s="10" t="n">
        <v>220227.422798911</v>
      </c>
      <c r="J245" s="10" t="n">
        <v>421513.827376533</v>
      </c>
      <c r="K245" s="11" t="n">
        <v>0.701311361621053</v>
      </c>
      <c r="L245" s="11" t="n">
        <v>-0.511872994251905</v>
      </c>
      <c r="M245" s="11" t="n">
        <v>0.265556009463448</v>
      </c>
      <c r="N245" s="11" t="n">
        <v>0.0870187802200336</v>
      </c>
      <c r="O245" s="12" t="n">
        <v>0.408000827668007</v>
      </c>
      <c r="P245" s="12" t="n">
        <v>0.76278415607497</v>
      </c>
      <c r="Q245" s="4" t="n">
        <f aca="false">RANK(N245,$N$7:$N$307,0)</f>
        <v>239</v>
      </c>
      <c r="R245" s="4" t="n">
        <f aca="false">RANK(O245,$O$7:$O$307,1)</f>
        <v>161</v>
      </c>
      <c r="S245" s="4" t="n">
        <f aca="false">RANK(J245,$J$7:$J$307,0)</f>
        <v>248</v>
      </c>
      <c r="T245" s="4" t="str">
        <f aca="false">IF(O245&lt;0.05,"YES","no")</f>
        <v>no</v>
      </c>
      <c r="U245" s="4" t="str">
        <f aca="false">IF(P245&lt;0.05,"YES","no")</f>
        <v>no</v>
      </c>
      <c r="V245" s="4" t="str">
        <f aca="false">IF(N245&gt;1,"YES","no")</f>
        <v>no</v>
      </c>
    </row>
    <row r="246" customFormat="false" ht="15" hidden="false" customHeight="false" outlineLevel="0" collapsed="false">
      <c r="A246" s="4" t="s">
        <v>306</v>
      </c>
      <c r="B246" s="4"/>
      <c r="C246" s="4" t="s">
        <v>72</v>
      </c>
      <c r="D246" s="8" t="n">
        <v>295.12866</v>
      </c>
      <c r="E246" s="9" t="n">
        <v>8.215</v>
      </c>
      <c r="F246" s="10" t="n">
        <v>272438.909651148</v>
      </c>
      <c r="G246" s="10" t="n">
        <v>168303.315878326</v>
      </c>
      <c r="H246" s="10" t="n">
        <v>213813.115713257</v>
      </c>
      <c r="I246" s="10" t="n">
        <v>101867.876623566</v>
      </c>
      <c r="J246" s="10" t="n">
        <v>243126.012682202</v>
      </c>
      <c r="K246" s="11" t="n">
        <v>0.784811229743358</v>
      </c>
      <c r="L246" s="11" t="n">
        <v>-0.349582409880742</v>
      </c>
      <c r="M246" s="11" t="n">
        <v>0.224915429998332</v>
      </c>
      <c r="N246" s="11" t="n">
        <v>0.0867145988110001</v>
      </c>
      <c r="O246" s="12" t="n">
        <v>0.485677934002655</v>
      </c>
      <c r="P246" s="12" t="n">
        <v>0.785962678144081</v>
      </c>
      <c r="Q246" s="4" t="n">
        <f aca="false">RANK(N246,$N$7:$N$307,0)</f>
        <v>240</v>
      </c>
      <c r="R246" s="4" t="n">
        <f aca="false">RANK(O246,$O$7:$O$307,1)</f>
        <v>186</v>
      </c>
      <c r="S246" s="4" t="n">
        <f aca="false">RANK(J246,$J$7:$J$307,0)</f>
        <v>268</v>
      </c>
      <c r="T246" s="4" t="str">
        <f aca="false">IF(O246&lt;0.05,"YES","no")</f>
        <v>no</v>
      </c>
      <c r="U246" s="4" t="str">
        <f aca="false">IF(P246&lt;0.05,"YES","no")</f>
        <v>no</v>
      </c>
      <c r="V246" s="4" t="str">
        <f aca="false">IF(N246&gt;1,"YES","no")</f>
        <v>no</v>
      </c>
    </row>
    <row r="247" customFormat="false" ht="15" hidden="false" customHeight="false" outlineLevel="0" collapsed="false">
      <c r="A247" s="4" t="s">
        <v>318</v>
      </c>
      <c r="B247" s="4" t="s">
        <v>319</v>
      </c>
      <c r="C247" s="4" t="s">
        <v>61</v>
      </c>
      <c r="D247" s="8" t="n">
        <v>291.12984</v>
      </c>
      <c r="E247" s="9" t="n">
        <v>10.713</v>
      </c>
      <c r="F247" s="10" t="n">
        <v>1290623.25260208</v>
      </c>
      <c r="G247" s="10" t="n">
        <v>413586.021903643</v>
      </c>
      <c r="H247" s="10" t="n">
        <v>1379672.74867569</v>
      </c>
      <c r="I247" s="10" t="n">
        <v>841458.687803535</v>
      </c>
      <c r="J247" s="10" t="n">
        <v>1335148.00063888</v>
      </c>
      <c r="K247" s="11" t="n">
        <v>1.06899728165759</v>
      </c>
      <c r="L247" s="11" t="n">
        <v>0.0962581844483881</v>
      </c>
      <c r="M247" s="11" t="n">
        <v>0.073369298482372</v>
      </c>
      <c r="N247" s="11" t="n">
        <v>0.0852130768488771</v>
      </c>
      <c r="O247" s="12" t="n">
        <v>0.822443584420666</v>
      </c>
      <c r="P247" s="12" t="n">
        <v>0.923481941786446</v>
      </c>
      <c r="Q247" s="4" t="n">
        <f aca="false">RANK(N247,$N$7:$N$307,0)</f>
        <v>241</v>
      </c>
      <c r="R247" s="4" t="n">
        <f aca="false">RANK(O247,$O$7:$O$307,1)</f>
        <v>266</v>
      </c>
      <c r="S247" s="4" t="n">
        <f aca="false">RANK(J247,$J$7:$J$307,0)</f>
        <v>202</v>
      </c>
      <c r="T247" s="4" t="str">
        <f aca="false">IF(O247&lt;0.05,"YES","no")</f>
        <v>no</v>
      </c>
      <c r="U247" s="4" t="str">
        <f aca="false">IF(P247&lt;0.05,"YES","no")</f>
        <v>no</v>
      </c>
      <c r="V247" s="4" t="str">
        <f aca="false">IF(N247&gt;1,"YES","no")</f>
        <v>no</v>
      </c>
    </row>
    <row r="248" customFormat="false" ht="15" hidden="false" customHeight="false" outlineLevel="0" collapsed="false">
      <c r="A248" s="4" t="s">
        <v>397</v>
      </c>
      <c r="B248" s="4" t="s">
        <v>398</v>
      </c>
      <c r="C248" s="4" t="s">
        <v>72</v>
      </c>
      <c r="D248" s="8" t="n">
        <v>166.02921</v>
      </c>
      <c r="E248" s="9" t="n">
        <v>11.73</v>
      </c>
      <c r="F248" s="10" t="n">
        <v>461760.031226437</v>
      </c>
      <c r="G248" s="10" t="n">
        <v>139111.511590784</v>
      </c>
      <c r="H248" s="10" t="n">
        <v>593430.781510582</v>
      </c>
      <c r="I248" s="10" t="n">
        <v>231972.717528005</v>
      </c>
      <c r="J248" s="10" t="n">
        <v>527595.406368509</v>
      </c>
      <c r="K248" s="11" t="n">
        <v>1.28514973445066</v>
      </c>
      <c r="L248" s="11" t="n">
        <v>0.361936459469326</v>
      </c>
      <c r="M248" s="11" t="n">
        <v>0.352818212618265</v>
      </c>
      <c r="N248" s="11" t="n">
        <v>0.0820334077814243</v>
      </c>
      <c r="O248" s="12" t="n">
        <v>0.266530913397375</v>
      </c>
      <c r="P248" s="12" t="n">
        <v>0.651482536722943</v>
      </c>
      <c r="Q248" s="4" t="n">
        <f aca="false">RANK(N248,$N$7:$N$307,0)</f>
        <v>242</v>
      </c>
      <c r="R248" s="4" t="n">
        <f aca="false">RANK(O248,$O$7:$O$307,1)</f>
        <v>122</v>
      </c>
      <c r="S248" s="4" t="n">
        <f aca="false">RANK(J248,$J$7:$J$307,0)</f>
        <v>240</v>
      </c>
      <c r="T248" s="4" t="str">
        <f aca="false">IF(O248&lt;0.05,"YES","no")</f>
        <v>no</v>
      </c>
      <c r="U248" s="4" t="str">
        <f aca="false">IF(P248&lt;0.05,"YES","no")</f>
        <v>no</v>
      </c>
      <c r="V248" s="4" t="str">
        <f aca="false">IF(N248&gt;1,"YES","no")</f>
        <v>no</v>
      </c>
    </row>
    <row r="249" customFormat="false" ht="15" hidden="false" customHeight="false" outlineLevel="0" collapsed="false">
      <c r="A249" s="4" t="s">
        <v>255</v>
      </c>
      <c r="B249" s="4"/>
      <c r="C249" s="4" t="s">
        <v>61</v>
      </c>
      <c r="D249" s="8" t="n">
        <v>155.00989</v>
      </c>
      <c r="E249" s="9" t="n">
        <v>6.873</v>
      </c>
      <c r="F249" s="10" t="n">
        <v>479277.891599877</v>
      </c>
      <c r="G249" s="10" t="n">
        <v>282081.948630486</v>
      </c>
      <c r="H249" s="10" t="n">
        <v>551090.020807568</v>
      </c>
      <c r="I249" s="10" t="n">
        <v>238571.383468818</v>
      </c>
      <c r="J249" s="10" t="n">
        <v>515183.956203723</v>
      </c>
      <c r="K249" s="11" t="n">
        <v>1.14983401167948</v>
      </c>
      <c r="L249" s="11" t="n">
        <v>0.201425610899358</v>
      </c>
      <c r="M249" s="11" t="n">
        <v>0.148888348226769</v>
      </c>
      <c r="N249" s="11" t="n">
        <v>0.0792958701900391</v>
      </c>
      <c r="O249" s="12" t="n">
        <v>0.644487808494356</v>
      </c>
      <c r="P249" s="12" t="n">
        <v>0.881168181006632</v>
      </c>
      <c r="Q249" s="4" t="n">
        <f aca="false">RANK(N249,$N$7:$N$307,0)</f>
        <v>243</v>
      </c>
      <c r="R249" s="4" t="n">
        <f aca="false">RANK(O249,$O$7:$O$307,1)</f>
        <v>217</v>
      </c>
      <c r="S249" s="4" t="n">
        <f aca="false">RANK(J249,$J$7:$J$307,0)</f>
        <v>241</v>
      </c>
      <c r="T249" s="4" t="str">
        <f aca="false">IF(O249&lt;0.05,"YES","no")</f>
        <v>no</v>
      </c>
      <c r="U249" s="4" t="str">
        <f aca="false">IF(P249&lt;0.05,"YES","no")</f>
        <v>no</v>
      </c>
      <c r="V249" s="4" t="str">
        <f aca="false">IF(N249&gt;1,"YES","no")</f>
        <v>no</v>
      </c>
    </row>
    <row r="250" customFormat="false" ht="15" hidden="false" customHeight="false" outlineLevel="0" collapsed="false">
      <c r="A250" s="4" t="s">
        <v>316</v>
      </c>
      <c r="B250" s="4"/>
      <c r="C250" s="4" t="s">
        <v>72</v>
      </c>
      <c r="D250" s="8" t="n">
        <v>260.05305</v>
      </c>
      <c r="E250" s="9" t="n">
        <v>9.877</v>
      </c>
      <c r="F250" s="10" t="n">
        <v>896089.948510273</v>
      </c>
      <c r="G250" s="10" t="n">
        <v>328168.579649664</v>
      </c>
      <c r="H250" s="10" t="n">
        <v>1104772.9800656</v>
      </c>
      <c r="I250" s="10" t="n">
        <v>747392.197060465</v>
      </c>
      <c r="J250" s="10" t="n">
        <v>1000431.46428794</v>
      </c>
      <c r="K250" s="11" t="n">
        <v>1.23288179038528</v>
      </c>
      <c r="L250" s="11" t="n">
        <v>0.302034479707947</v>
      </c>
      <c r="M250" s="11" t="n">
        <v>0.194257731363992</v>
      </c>
      <c r="N250" s="11" t="n">
        <v>0.0791409059749712</v>
      </c>
      <c r="O250" s="12" t="n">
        <v>0.551428888363409</v>
      </c>
      <c r="P250" s="12" t="n">
        <v>0.832892828813901</v>
      </c>
      <c r="Q250" s="4" t="n">
        <f aca="false">RANK(N250,$N$7:$N$307,0)</f>
        <v>244</v>
      </c>
      <c r="R250" s="4" t="n">
        <f aca="false">RANK(O250,$O$7:$O$307,1)</f>
        <v>199</v>
      </c>
      <c r="S250" s="4" t="n">
        <f aca="false">RANK(J250,$J$7:$J$307,0)</f>
        <v>215</v>
      </c>
      <c r="T250" s="4" t="str">
        <f aca="false">IF(O250&lt;0.05,"YES","no")</f>
        <v>no</v>
      </c>
      <c r="U250" s="4" t="str">
        <f aca="false">IF(P250&lt;0.05,"YES","no")</f>
        <v>no</v>
      </c>
      <c r="V250" s="4" t="str">
        <f aca="false">IF(N250&gt;1,"YES","no")</f>
        <v>no</v>
      </c>
    </row>
    <row r="251" customFormat="false" ht="15" hidden="false" customHeight="false" outlineLevel="0" collapsed="false">
      <c r="A251" s="4" t="s">
        <v>364</v>
      </c>
      <c r="B251" s="4" t="s">
        <v>365</v>
      </c>
      <c r="C251" s="4" t="s">
        <v>72</v>
      </c>
      <c r="D251" s="8" t="n">
        <v>196.09677</v>
      </c>
      <c r="E251" s="9" t="n">
        <v>5.013</v>
      </c>
      <c r="F251" s="10" t="n">
        <v>791534.209050061</v>
      </c>
      <c r="G251" s="10" t="n">
        <v>160932.215290008</v>
      </c>
      <c r="H251" s="10" t="n">
        <v>892818.47647332</v>
      </c>
      <c r="I251" s="10" t="n">
        <v>293032.550746563</v>
      </c>
      <c r="J251" s="10" t="n">
        <v>842176.34276169</v>
      </c>
      <c r="K251" s="11" t="n">
        <v>1.12795943152579</v>
      </c>
      <c r="L251" s="11" t="n">
        <v>0.173715180335052</v>
      </c>
      <c r="M251" s="11" t="n">
        <v>0.228464929823962</v>
      </c>
      <c r="N251" s="11" t="n">
        <v>0.0789735960382353</v>
      </c>
      <c r="O251" s="12" t="n">
        <v>0.479872005523689</v>
      </c>
      <c r="P251" s="12" t="n">
        <v>0.785962678144081</v>
      </c>
      <c r="Q251" s="4" t="n">
        <f aca="false">RANK(N251,$N$7:$N$307,0)</f>
        <v>245</v>
      </c>
      <c r="R251" s="4" t="n">
        <f aca="false">RANK(O251,$O$7:$O$307,1)</f>
        <v>183</v>
      </c>
      <c r="S251" s="4" t="n">
        <f aca="false">RANK(J251,$J$7:$J$307,0)</f>
        <v>222</v>
      </c>
      <c r="T251" s="4" t="str">
        <f aca="false">IF(O251&lt;0.05,"YES","no")</f>
        <v>no</v>
      </c>
      <c r="U251" s="4" t="str">
        <f aca="false">IF(P251&lt;0.05,"YES","no")</f>
        <v>no</v>
      </c>
      <c r="V251" s="4" t="str">
        <f aca="false">IF(N251&gt;1,"YES","no")</f>
        <v>no</v>
      </c>
    </row>
    <row r="252" customFormat="false" ht="15" hidden="false" customHeight="false" outlineLevel="0" collapsed="false">
      <c r="A252" s="4" t="s">
        <v>289</v>
      </c>
      <c r="B252" s="4"/>
      <c r="C252" s="4" t="s">
        <v>61</v>
      </c>
      <c r="D252" s="8" t="n">
        <v>184.06037</v>
      </c>
      <c r="E252" s="9" t="n">
        <v>4.688</v>
      </c>
      <c r="F252" s="10" t="n">
        <v>313058.409571757</v>
      </c>
      <c r="G252" s="10" t="n">
        <v>483149.220676363</v>
      </c>
      <c r="H252" s="10" t="n">
        <v>188203.421189117</v>
      </c>
      <c r="I252" s="10" t="n">
        <v>48738.8666727388</v>
      </c>
      <c r="J252" s="10" t="n">
        <v>250630.915380437</v>
      </c>
      <c r="K252" s="11" t="n">
        <v>0.601176698771856</v>
      </c>
      <c r="L252" s="11" t="n">
        <v>-0.734139002495627</v>
      </c>
      <c r="M252" s="11" t="n">
        <v>0.19532373843388</v>
      </c>
      <c r="N252" s="11" t="n">
        <v>0.0750658804462233</v>
      </c>
      <c r="O252" s="12" t="n">
        <v>0.555953281837553</v>
      </c>
      <c r="P252" s="12" t="n">
        <v>0.832892828813901</v>
      </c>
      <c r="Q252" s="4" t="n">
        <f aca="false">RANK(N252,$N$7:$N$307,0)</f>
        <v>246</v>
      </c>
      <c r="R252" s="4" t="n">
        <f aca="false">RANK(O252,$O$7:$O$307,1)</f>
        <v>200</v>
      </c>
      <c r="S252" s="4" t="n">
        <f aca="false">RANK(J252,$J$7:$J$307,0)</f>
        <v>267</v>
      </c>
      <c r="T252" s="4" t="str">
        <f aca="false">IF(O252&lt;0.05,"YES","no")</f>
        <v>no</v>
      </c>
      <c r="U252" s="4" t="str">
        <f aca="false">IF(P252&lt;0.05,"YES","no")</f>
        <v>no</v>
      </c>
      <c r="V252" s="4" t="str">
        <f aca="false">IF(N252&gt;1,"YES","no")</f>
        <v>no</v>
      </c>
    </row>
    <row r="253" customFormat="false" ht="15" hidden="false" customHeight="false" outlineLevel="0" collapsed="false">
      <c r="A253" s="4" t="s">
        <v>392</v>
      </c>
      <c r="B253" s="4"/>
      <c r="C253" s="4" t="s">
        <v>72</v>
      </c>
      <c r="D253" s="8" t="n">
        <v>404.02579</v>
      </c>
      <c r="E253" s="9" t="n">
        <v>10.524</v>
      </c>
      <c r="F253" s="10" t="n">
        <v>396070.492773719</v>
      </c>
      <c r="G253" s="10" t="n">
        <v>127058.881845853</v>
      </c>
      <c r="H253" s="10" t="n">
        <v>340006.253752018</v>
      </c>
      <c r="I253" s="10" t="n">
        <v>283188.477830969</v>
      </c>
      <c r="J253" s="10" t="n">
        <v>368038.373262868</v>
      </c>
      <c r="K253" s="11" t="n">
        <v>0.858448836647543</v>
      </c>
      <c r="L253" s="11" t="n">
        <v>-0.220195942389067</v>
      </c>
      <c r="M253" s="11" t="n">
        <v>0.138563622192367</v>
      </c>
      <c r="N253" s="11" t="n">
        <v>0.0749626865079786</v>
      </c>
      <c r="O253" s="12" t="n">
        <v>0.671637982157395</v>
      </c>
      <c r="P253" s="12" t="n">
        <v>0.881168181006632</v>
      </c>
      <c r="Q253" s="4" t="n">
        <f aca="false">RANK(N253,$N$7:$N$307,0)</f>
        <v>247</v>
      </c>
      <c r="R253" s="4" t="n">
        <f aca="false">RANK(O253,$O$7:$O$307,1)</f>
        <v>228</v>
      </c>
      <c r="S253" s="4" t="n">
        <f aca="false">RANK(J253,$J$7:$J$307,0)</f>
        <v>254</v>
      </c>
      <c r="T253" s="4" t="str">
        <f aca="false">IF(O253&lt;0.05,"YES","no")</f>
        <v>no</v>
      </c>
      <c r="U253" s="4" t="str">
        <f aca="false">IF(P253&lt;0.05,"YES","no")</f>
        <v>no</v>
      </c>
      <c r="V253" s="4" t="str">
        <f aca="false">IF(N253&gt;1,"YES","no")</f>
        <v>no</v>
      </c>
    </row>
    <row r="254" customFormat="false" ht="15" hidden="false" customHeight="false" outlineLevel="0" collapsed="false">
      <c r="A254" s="4" t="s">
        <v>351</v>
      </c>
      <c r="B254" s="4" t="s">
        <v>352</v>
      </c>
      <c r="C254" s="4" t="s">
        <v>61</v>
      </c>
      <c r="D254" s="8" t="n">
        <v>194.08105</v>
      </c>
      <c r="E254" s="9" t="n">
        <v>5.027</v>
      </c>
      <c r="F254" s="10" t="n">
        <v>380593.492875569</v>
      </c>
      <c r="G254" s="10" t="n">
        <v>168942.543921595</v>
      </c>
      <c r="H254" s="10" t="n">
        <v>284798.108230097</v>
      </c>
      <c r="I254" s="10" t="n">
        <v>130797.430453006</v>
      </c>
      <c r="J254" s="10" t="n">
        <v>332695.800552833</v>
      </c>
      <c r="K254" s="11" t="n">
        <v>0.748299993461025</v>
      </c>
      <c r="L254" s="11" t="n">
        <v>-0.418311332378259</v>
      </c>
      <c r="M254" s="11" t="n">
        <v>0.328075349918707</v>
      </c>
      <c r="N254" s="11" t="n">
        <v>0.0711156106192589</v>
      </c>
      <c r="O254" s="12" t="n">
        <v>0.299400646940955</v>
      </c>
      <c r="P254" s="12" t="n">
        <v>0.652060151640156</v>
      </c>
      <c r="Q254" s="4" t="n">
        <f aca="false">RANK(N254,$N$7:$N$307,0)</f>
        <v>248</v>
      </c>
      <c r="R254" s="4" t="n">
        <f aca="false">RANK(O254,$O$7:$O$307,1)</f>
        <v>136</v>
      </c>
      <c r="S254" s="4" t="n">
        <f aca="false">RANK(J254,$J$7:$J$307,0)</f>
        <v>259</v>
      </c>
      <c r="T254" s="4" t="str">
        <f aca="false">IF(O254&lt;0.05,"YES","no")</f>
        <v>no</v>
      </c>
      <c r="U254" s="4" t="str">
        <f aca="false">IF(P254&lt;0.05,"YES","no")</f>
        <v>no</v>
      </c>
      <c r="V254" s="4" t="str">
        <f aca="false">IF(N254&gt;1,"YES","no")</f>
        <v>no</v>
      </c>
    </row>
    <row r="255" customFormat="false" ht="15" hidden="false" customHeight="false" outlineLevel="0" collapsed="false">
      <c r="A255" s="4" t="s">
        <v>175</v>
      </c>
      <c r="B255" s="4"/>
      <c r="C255" s="4" t="s">
        <v>61</v>
      </c>
      <c r="D255" s="8" t="n">
        <v>168.06543</v>
      </c>
      <c r="E255" s="9" t="n">
        <v>7.711</v>
      </c>
      <c r="F255" s="10" t="n">
        <v>741869.954954254</v>
      </c>
      <c r="G255" s="10" t="n">
        <v>756427.639265556</v>
      </c>
      <c r="H255" s="10" t="n">
        <v>857258.693758362</v>
      </c>
      <c r="I255" s="10" t="n">
        <v>500203.345578295</v>
      </c>
      <c r="J255" s="10" t="n">
        <v>799564.324356308</v>
      </c>
      <c r="K255" s="11" t="n">
        <v>1.15553768963622</v>
      </c>
      <c r="L255" s="11" t="n">
        <v>0.208564316287148</v>
      </c>
      <c r="M255" s="11" t="n">
        <v>0.0980848530930804</v>
      </c>
      <c r="N255" s="11" t="n">
        <v>0.0682327133758508</v>
      </c>
      <c r="O255" s="12" t="n">
        <v>0.762651319971007</v>
      </c>
      <c r="P255" s="12" t="n">
        <v>0.908601384555691</v>
      </c>
      <c r="Q255" s="4" t="n">
        <f aca="false">RANK(N255,$N$7:$N$307,0)</f>
        <v>249</v>
      </c>
      <c r="R255" s="4" t="n">
        <f aca="false">RANK(O255,$O$7:$O$307,1)</f>
        <v>251</v>
      </c>
      <c r="S255" s="4" t="n">
        <f aca="false">RANK(J255,$J$7:$J$307,0)</f>
        <v>224</v>
      </c>
      <c r="T255" s="4" t="str">
        <f aca="false">IF(O255&lt;0.05,"YES","no")</f>
        <v>no</v>
      </c>
      <c r="U255" s="4" t="str">
        <f aca="false">IF(P255&lt;0.05,"YES","no")</f>
        <v>no</v>
      </c>
      <c r="V255" s="4" t="str">
        <f aca="false">IF(N255&gt;1,"YES","no")</f>
        <v>no</v>
      </c>
    </row>
    <row r="256" customFormat="false" ht="15" hidden="false" customHeight="false" outlineLevel="0" collapsed="false">
      <c r="A256" s="4" t="s">
        <v>408</v>
      </c>
      <c r="B256" s="4"/>
      <c r="C256" s="4" t="s">
        <v>72</v>
      </c>
      <c r="D256" s="8" t="n">
        <v>241.07306</v>
      </c>
      <c r="E256" s="9" t="n">
        <v>5.008</v>
      </c>
      <c r="F256" s="10" t="n">
        <v>422899.817071478</v>
      </c>
      <c r="G256" s="10" t="n">
        <v>61263.3596492571</v>
      </c>
      <c r="H256" s="10" t="n">
        <v>381651.859906962</v>
      </c>
      <c r="I256" s="10" t="n">
        <v>126949.408362355</v>
      </c>
      <c r="J256" s="10" t="n">
        <v>402275.83848922</v>
      </c>
      <c r="K256" s="11" t="n">
        <v>0.902463998565541</v>
      </c>
      <c r="L256" s="11" t="n">
        <v>-0.148058714274737</v>
      </c>
      <c r="M256" s="11" t="n">
        <v>0.221058336051159</v>
      </c>
      <c r="N256" s="11" t="n">
        <v>0.066123076099689</v>
      </c>
      <c r="O256" s="12" t="n">
        <v>0.496070084921583</v>
      </c>
      <c r="P256" s="12" t="n">
        <v>0.798487142039554</v>
      </c>
      <c r="Q256" s="4" t="n">
        <f aca="false">RANK(N256,$N$7:$N$307,0)</f>
        <v>250</v>
      </c>
      <c r="R256" s="4" t="n">
        <f aca="false">RANK(O256,$O$7:$O$307,1)</f>
        <v>187</v>
      </c>
      <c r="S256" s="4" t="n">
        <f aca="false">RANK(J256,$J$7:$J$307,0)</f>
        <v>251</v>
      </c>
      <c r="T256" s="4" t="str">
        <f aca="false">IF(O256&lt;0.05,"YES","no")</f>
        <v>no</v>
      </c>
      <c r="U256" s="4" t="str">
        <f aca="false">IF(P256&lt;0.05,"YES","no")</f>
        <v>no</v>
      </c>
      <c r="V256" s="4" t="str">
        <f aca="false">IF(N256&gt;1,"YES","no")</f>
        <v>no</v>
      </c>
    </row>
    <row r="257" customFormat="false" ht="15" hidden="false" customHeight="false" outlineLevel="0" collapsed="false">
      <c r="A257" s="4" t="s">
        <v>333</v>
      </c>
      <c r="B257" s="4"/>
      <c r="C257" s="4" t="s">
        <v>72</v>
      </c>
      <c r="D257" s="8" t="n">
        <v>329.23316</v>
      </c>
      <c r="E257" s="9" t="n">
        <v>4.472</v>
      </c>
      <c r="F257" s="10" t="n">
        <v>225527.67603261</v>
      </c>
      <c r="G257" s="10" t="n">
        <v>87937.0959630025</v>
      </c>
      <c r="H257" s="10" t="n">
        <v>311202.565206228</v>
      </c>
      <c r="I257" s="10" t="n">
        <v>124379.584797946</v>
      </c>
      <c r="J257" s="10" t="n">
        <v>268365.120619419</v>
      </c>
      <c r="K257" s="11" t="n">
        <v>1.37988636552629</v>
      </c>
      <c r="L257" s="11" t="n">
        <v>0.464549465089104</v>
      </c>
      <c r="M257" s="11" t="n">
        <v>0.39940822601916</v>
      </c>
      <c r="N257" s="11" t="n">
        <v>0.0660693392078811</v>
      </c>
      <c r="O257" s="12" t="n">
        <v>0.201585212801505</v>
      </c>
      <c r="P257" s="12" t="n">
        <v>0.605590657294096</v>
      </c>
      <c r="Q257" s="4" t="n">
        <f aca="false">RANK(N257,$N$7:$N$307,0)</f>
        <v>251</v>
      </c>
      <c r="R257" s="4" t="n">
        <f aca="false">RANK(O257,$O$7:$O$307,1)</f>
        <v>100</v>
      </c>
      <c r="S257" s="4" t="n">
        <f aca="false">RANK(J257,$J$7:$J$307,0)</f>
        <v>264</v>
      </c>
      <c r="T257" s="4" t="str">
        <f aca="false">IF(O257&lt;0.05,"YES","no")</f>
        <v>no</v>
      </c>
      <c r="U257" s="4" t="str">
        <f aca="false">IF(P257&lt;0.05,"YES","no")</f>
        <v>no</v>
      </c>
      <c r="V257" s="4" t="str">
        <f aca="false">IF(N257&gt;1,"YES","no")</f>
        <v>no</v>
      </c>
    </row>
    <row r="258" customFormat="false" ht="15" hidden="false" customHeight="false" outlineLevel="0" collapsed="false">
      <c r="A258" s="4" t="s">
        <v>201</v>
      </c>
      <c r="B258" s="4"/>
      <c r="C258" s="4" t="s">
        <v>61</v>
      </c>
      <c r="D258" s="8" t="n">
        <v>157.03674</v>
      </c>
      <c r="E258" s="9" t="n">
        <v>10.553</v>
      </c>
      <c r="F258" s="10" t="n">
        <v>1253109.92030761</v>
      </c>
      <c r="G258" s="10" t="n">
        <v>386886.785179774</v>
      </c>
      <c r="H258" s="10" t="n">
        <v>1285190.34645479</v>
      </c>
      <c r="I258" s="10" t="n">
        <v>398108.289241113</v>
      </c>
      <c r="J258" s="10" t="n">
        <v>1269150.1333812</v>
      </c>
      <c r="K258" s="11" t="n">
        <v>1.02560064813731</v>
      </c>
      <c r="L258" s="11" t="n">
        <v>0.0364690787933486</v>
      </c>
      <c r="M258" s="11" t="n">
        <v>0.0447182482270736</v>
      </c>
      <c r="N258" s="11" t="n">
        <v>0.0657205427839669</v>
      </c>
      <c r="O258" s="12" t="n">
        <v>0.890246341623108</v>
      </c>
      <c r="P258" s="12" t="n">
        <v>0.939393851378877</v>
      </c>
      <c r="Q258" s="4" t="n">
        <f aca="false">RANK(N258,$N$7:$N$307,0)</f>
        <v>252</v>
      </c>
      <c r="R258" s="4" t="n">
        <f aca="false">RANK(O258,$O$7:$O$307,1)</f>
        <v>285</v>
      </c>
      <c r="S258" s="4" t="n">
        <f aca="false">RANK(J258,$J$7:$J$307,0)</f>
        <v>204</v>
      </c>
      <c r="T258" s="4" t="str">
        <f aca="false">IF(O258&lt;0.05,"YES","no")</f>
        <v>no</v>
      </c>
      <c r="U258" s="4" t="str">
        <f aca="false">IF(P258&lt;0.05,"YES","no")</f>
        <v>no</v>
      </c>
      <c r="V258" s="4" t="str">
        <f aca="false">IF(N258&gt;1,"YES","no")</f>
        <v>no</v>
      </c>
    </row>
    <row r="259" customFormat="false" ht="15" hidden="false" customHeight="false" outlineLevel="0" collapsed="false">
      <c r="A259" s="4" t="s">
        <v>284</v>
      </c>
      <c r="B259" s="4"/>
      <c r="C259" s="4" t="s">
        <v>72</v>
      </c>
      <c r="D259" s="8" t="n">
        <v>403.55546</v>
      </c>
      <c r="E259" s="9" t="n">
        <v>8.307</v>
      </c>
      <c r="F259" s="10" t="n">
        <v>4233225.77190276</v>
      </c>
      <c r="G259" s="10" t="n">
        <v>2410126.11330127</v>
      </c>
      <c r="H259" s="10" t="n">
        <v>4565990.03703361</v>
      </c>
      <c r="I259" s="10" t="n">
        <v>2078971.33172091</v>
      </c>
      <c r="J259" s="10" t="n">
        <v>4399607.90446818</v>
      </c>
      <c r="K259" s="11" t="n">
        <v>1.07860772920252</v>
      </c>
      <c r="L259" s="11" t="n">
        <v>0.109170277216434</v>
      </c>
      <c r="M259" s="11" t="n">
        <v>0.0807179960215812</v>
      </c>
      <c r="N259" s="11" t="n">
        <v>0.0651648467181187</v>
      </c>
      <c r="O259" s="12" t="n">
        <v>0.803183538206283</v>
      </c>
      <c r="P259" s="12" t="n">
        <v>0.919859927862235</v>
      </c>
      <c r="Q259" s="4" t="n">
        <f aca="false">RANK(N259,$N$7:$N$307,0)</f>
        <v>253</v>
      </c>
      <c r="R259" s="4" t="n">
        <f aca="false">RANK(O259,$O$7:$O$307,1)</f>
        <v>262</v>
      </c>
      <c r="S259" s="4" t="n">
        <f aca="false">RANK(J259,$J$7:$J$307,0)</f>
        <v>133</v>
      </c>
      <c r="T259" s="4" t="str">
        <f aca="false">IF(O259&lt;0.05,"YES","no")</f>
        <v>no</v>
      </c>
      <c r="U259" s="4" t="str">
        <f aca="false">IF(P259&lt;0.05,"YES","no")</f>
        <v>no</v>
      </c>
      <c r="V259" s="4" t="str">
        <f aca="false">IF(N259&gt;1,"YES","no")</f>
        <v>no</v>
      </c>
    </row>
    <row r="260" customFormat="false" ht="15" hidden="false" customHeight="false" outlineLevel="0" collapsed="false">
      <c r="A260" s="4" t="s">
        <v>393</v>
      </c>
      <c r="B260" s="4"/>
      <c r="C260" s="4" t="s">
        <v>72</v>
      </c>
      <c r="D260" s="8" t="n">
        <v>341.10859</v>
      </c>
      <c r="E260" s="9" t="n">
        <v>12.088</v>
      </c>
      <c r="F260" s="10" t="n">
        <v>247130.442367213</v>
      </c>
      <c r="G260" s="10" t="n">
        <v>47104.7359466354</v>
      </c>
      <c r="H260" s="10" t="n">
        <v>214234.232322843</v>
      </c>
      <c r="I260" s="10" t="n">
        <v>72744.646789547</v>
      </c>
      <c r="J260" s="10" t="n">
        <v>230682.337345028</v>
      </c>
      <c r="K260" s="11" t="n">
        <v>0.86688726111901</v>
      </c>
      <c r="L260" s="11" t="n">
        <v>-0.206083712051848</v>
      </c>
      <c r="M260" s="11" t="n">
        <v>0.282083777296503</v>
      </c>
      <c r="N260" s="11" t="n">
        <v>0.0650105487667743</v>
      </c>
      <c r="O260" s="12" t="n">
        <v>0.377939345354624</v>
      </c>
      <c r="P260" s="12" t="n">
        <v>0.743900691806834</v>
      </c>
      <c r="Q260" s="4" t="n">
        <f aca="false">RANK(N260,$N$7:$N$307,0)</f>
        <v>254</v>
      </c>
      <c r="R260" s="4" t="n">
        <f aca="false">RANK(O260,$O$7:$O$307,1)</f>
        <v>152</v>
      </c>
      <c r="S260" s="4" t="n">
        <f aca="false">RANK(J260,$J$7:$J$307,0)</f>
        <v>272</v>
      </c>
      <c r="T260" s="4" t="str">
        <f aca="false">IF(O260&lt;0.05,"YES","no")</f>
        <v>no</v>
      </c>
      <c r="U260" s="4" t="str">
        <f aca="false">IF(P260&lt;0.05,"YES","no")</f>
        <v>no</v>
      </c>
      <c r="V260" s="4" t="str">
        <f aca="false">IF(N260&gt;1,"YES","no")</f>
        <v>no</v>
      </c>
    </row>
    <row r="261" customFormat="false" ht="15" hidden="false" customHeight="false" outlineLevel="0" collapsed="false">
      <c r="A261" s="4" t="s">
        <v>213</v>
      </c>
      <c r="B261" s="4"/>
      <c r="C261" s="4" t="s">
        <v>72</v>
      </c>
      <c r="D261" s="8" t="n">
        <v>87.04504</v>
      </c>
      <c r="E261" s="9" t="n">
        <v>6.833</v>
      </c>
      <c r="F261" s="10" t="n">
        <v>2384822.15134268</v>
      </c>
      <c r="G261" s="10" t="n">
        <v>1033930.67079956</v>
      </c>
      <c r="H261" s="10" t="n">
        <v>2287157.06279963</v>
      </c>
      <c r="I261" s="10" t="n">
        <v>575531.100834797</v>
      </c>
      <c r="J261" s="10" t="n">
        <v>2335989.60707116</v>
      </c>
      <c r="K261" s="11" t="n">
        <v>0.959047223505506</v>
      </c>
      <c r="L261" s="11" t="n">
        <v>-0.0603262395607028</v>
      </c>
      <c r="M261" s="11" t="n">
        <v>0.0638008807763935</v>
      </c>
      <c r="N261" s="11" t="n">
        <v>0.0642882662138653</v>
      </c>
      <c r="O261" s="12" t="n">
        <v>0.844940990356485</v>
      </c>
      <c r="P261" s="12" t="n">
        <v>0.923481941786446</v>
      </c>
      <c r="Q261" s="4" t="n">
        <f aca="false">RANK(N261,$N$7:$N$307,0)</f>
        <v>255</v>
      </c>
      <c r="R261" s="4" t="n">
        <f aca="false">RANK(O261,$O$7:$O$307,1)</f>
        <v>272</v>
      </c>
      <c r="S261" s="4" t="n">
        <f aca="false">RANK(J261,$J$7:$J$307,0)</f>
        <v>168</v>
      </c>
      <c r="T261" s="4" t="str">
        <f aca="false">IF(O261&lt;0.05,"YES","no")</f>
        <v>no</v>
      </c>
      <c r="U261" s="4" t="str">
        <f aca="false">IF(P261&lt;0.05,"YES","no")</f>
        <v>no</v>
      </c>
      <c r="V261" s="4" t="str">
        <f aca="false">IF(N261&gt;1,"YES","no")</f>
        <v>no</v>
      </c>
    </row>
    <row r="262" customFormat="false" ht="15" hidden="false" customHeight="false" outlineLevel="0" collapsed="false">
      <c r="A262" s="4" t="s">
        <v>355</v>
      </c>
      <c r="B262" s="4"/>
      <c r="C262" s="4" t="s">
        <v>61</v>
      </c>
      <c r="D262" s="8" t="n">
        <v>377.1459</v>
      </c>
      <c r="E262" s="9" t="n">
        <v>7.534</v>
      </c>
      <c r="F262" s="10" t="n">
        <v>399717.489494545</v>
      </c>
      <c r="G262" s="10" t="n">
        <v>311244.573971088</v>
      </c>
      <c r="H262" s="10" t="n">
        <v>352973.265349959</v>
      </c>
      <c r="I262" s="10" t="n">
        <v>108395.287012943</v>
      </c>
      <c r="J262" s="10" t="n">
        <v>376345.377422252</v>
      </c>
      <c r="K262" s="11" t="n">
        <v>0.883056845464292</v>
      </c>
      <c r="L262" s="11" t="n">
        <v>-0.17942178268778</v>
      </c>
      <c r="M262" s="11" t="n">
        <v>0.109203884309816</v>
      </c>
      <c r="N262" s="11" t="n">
        <v>0.0642751177999302</v>
      </c>
      <c r="O262" s="12" t="n">
        <v>0.739781990282759</v>
      </c>
      <c r="P262" s="12" t="n">
        <v>0.907830327241279</v>
      </c>
      <c r="Q262" s="4" t="n">
        <f aca="false">RANK(N262,$N$7:$N$307,0)</f>
        <v>256</v>
      </c>
      <c r="R262" s="4" t="n">
        <f aca="false">RANK(O262,$O$7:$O$307,1)</f>
        <v>245</v>
      </c>
      <c r="S262" s="4" t="n">
        <f aca="false">RANK(J262,$J$7:$J$307,0)</f>
        <v>253</v>
      </c>
      <c r="T262" s="4" t="str">
        <f aca="false">IF(O262&lt;0.05,"YES","no")</f>
        <v>no</v>
      </c>
      <c r="U262" s="4" t="str">
        <f aca="false">IF(P262&lt;0.05,"YES","no")</f>
        <v>no</v>
      </c>
      <c r="V262" s="4" t="str">
        <f aca="false">IF(N262&gt;1,"YES","no")</f>
        <v>no</v>
      </c>
    </row>
    <row r="263" customFormat="false" ht="15" hidden="false" customHeight="false" outlineLevel="0" collapsed="false">
      <c r="A263" s="4" t="s">
        <v>312</v>
      </c>
      <c r="B263" s="4"/>
      <c r="C263" s="4" t="s">
        <v>61</v>
      </c>
      <c r="D263" s="8" t="n">
        <v>173.05678</v>
      </c>
      <c r="E263" s="9" t="n">
        <v>8.268</v>
      </c>
      <c r="F263" s="10" t="n">
        <v>115332.527533752</v>
      </c>
      <c r="G263" s="10" t="n">
        <v>90773.7504064138</v>
      </c>
      <c r="H263" s="10" t="n">
        <v>183392.711860164</v>
      </c>
      <c r="I263" s="10" t="n">
        <v>67453.4279975661</v>
      </c>
      <c r="J263" s="10" t="n">
        <v>149362.619696958</v>
      </c>
      <c r="K263" s="11" t="n">
        <v>1.59012132814391</v>
      </c>
      <c r="L263" s="11" t="n">
        <v>0.669136849052722</v>
      </c>
      <c r="M263" s="11" t="n">
        <v>0.42250929519969</v>
      </c>
      <c r="N263" s="11" t="n">
        <v>0.0632902453382578</v>
      </c>
      <c r="O263" s="12" t="n">
        <v>0.173710609380195</v>
      </c>
      <c r="P263" s="12" t="n">
        <v>0.59081559788972</v>
      </c>
      <c r="Q263" s="4" t="n">
        <f aca="false">RANK(N263,$N$7:$N$307,0)</f>
        <v>257</v>
      </c>
      <c r="R263" s="4" t="n">
        <f aca="false">RANK(O263,$O$7:$O$307,1)</f>
        <v>87</v>
      </c>
      <c r="S263" s="4" t="n">
        <f aca="false">RANK(J263,$J$7:$J$307,0)</f>
        <v>281</v>
      </c>
      <c r="T263" s="4" t="str">
        <f aca="false">IF(O263&lt;0.05,"YES","no")</f>
        <v>no</v>
      </c>
      <c r="U263" s="4" t="str">
        <f aca="false">IF(P263&lt;0.05,"YES","no")</f>
        <v>no</v>
      </c>
      <c r="V263" s="4" t="str">
        <f aca="false">IF(N263&gt;1,"YES","no")</f>
        <v>no</v>
      </c>
    </row>
    <row r="264" customFormat="false" ht="15" hidden="false" customHeight="false" outlineLevel="0" collapsed="false">
      <c r="A264" s="4" t="s">
        <v>349</v>
      </c>
      <c r="B264" s="4"/>
      <c r="C264" s="4" t="s">
        <v>72</v>
      </c>
      <c r="D264" s="8" t="n">
        <v>428.03662</v>
      </c>
      <c r="E264" s="9" t="n">
        <v>11.929</v>
      </c>
      <c r="F264" s="10" t="n">
        <v>2906347.60557556</v>
      </c>
      <c r="G264" s="10" t="n">
        <v>3903778.68795201</v>
      </c>
      <c r="H264" s="10" t="n">
        <v>3241909.3959097</v>
      </c>
      <c r="I264" s="10" t="n">
        <v>1477969.37601017</v>
      </c>
      <c r="J264" s="10" t="n">
        <v>3074128.50074263</v>
      </c>
      <c r="K264" s="11" t="n">
        <v>1.11545824377318</v>
      </c>
      <c r="L264" s="11" t="n">
        <v>0.157636508535984</v>
      </c>
      <c r="M264" s="11" t="n">
        <v>0.0621491672820765</v>
      </c>
      <c r="N264" s="11" t="n">
        <v>0.062319009776625</v>
      </c>
      <c r="O264" s="12" t="n">
        <v>0.849996725306444</v>
      </c>
      <c r="P264" s="12" t="n">
        <v>0.923481941786446</v>
      </c>
      <c r="Q264" s="4" t="n">
        <f aca="false">RANK(N264,$N$7:$N$307,0)</f>
        <v>258</v>
      </c>
      <c r="R264" s="4" t="n">
        <f aca="false">RANK(O264,$O$7:$O$307,1)</f>
        <v>275</v>
      </c>
      <c r="S264" s="4" t="n">
        <f aca="false">RANK(J264,$J$7:$J$307,0)</f>
        <v>153</v>
      </c>
      <c r="T264" s="4" t="str">
        <f aca="false">IF(O264&lt;0.05,"YES","no")</f>
        <v>no</v>
      </c>
      <c r="U264" s="4" t="str">
        <f aca="false">IF(P264&lt;0.05,"YES","no")</f>
        <v>no</v>
      </c>
      <c r="V264" s="4" t="str">
        <f aca="false">IF(N264&gt;1,"YES","no")</f>
        <v>no</v>
      </c>
    </row>
    <row r="265" customFormat="false" ht="15" hidden="false" customHeight="false" outlineLevel="0" collapsed="false">
      <c r="A265" s="4" t="s">
        <v>343</v>
      </c>
      <c r="B265" s="4"/>
      <c r="C265" s="4" t="s">
        <v>61</v>
      </c>
      <c r="D265" s="8" t="n">
        <v>158.08232</v>
      </c>
      <c r="E265" s="9" t="n">
        <v>5.021</v>
      </c>
      <c r="F265" s="10" t="n">
        <v>458601.80460071</v>
      </c>
      <c r="G265" s="10" t="n">
        <v>274862.870475606</v>
      </c>
      <c r="H265" s="10" t="n">
        <v>385333.994470022</v>
      </c>
      <c r="I265" s="10" t="n">
        <v>110455.929211791</v>
      </c>
      <c r="J265" s="10" t="n">
        <v>421967.899535366</v>
      </c>
      <c r="K265" s="11" t="n">
        <v>0.840236542037858</v>
      </c>
      <c r="L265" s="11" t="n">
        <v>-0.251132564632552</v>
      </c>
      <c r="M265" s="11" t="n">
        <v>0.188164339761789</v>
      </c>
      <c r="N265" s="11" t="n">
        <v>0.0608629855183564</v>
      </c>
      <c r="O265" s="12" t="n">
        <v>0.564935553596861</v>
      </c>
      <c r="P265" s="12" t="n">
        <v>0.832892828813901</v>
      </c>
      <c r="Q265" s="4" t="n">
        <f aca="false">RANK(N265,$N$7:$N$307,0)</f>
        <v>259</v>
      </c>
      <c r="R265" s="4" t="n">
        <f aca="false">RANK(O265,$O$7:$O$307,1)</f>
        <v>204</v>
      </c>
      <c r="S265" s="4" t="n">
        <f aca="false">RANK(J265,$J$7:$J$307,0)</f>
        <v>247</v>
      </c>
      <c r="T265" s="4" t="str">
        <f aca="false">IF(O265&lt;0.05,"YES","no")</f>
        <v>no</v>
      </c>
      <c r="U265" s="4" t="str">
        <f aca="false">IF(P265&lt;0.05,"YES","no")</f>
        <v>no</v>
      </c>
      <c r="V265" s="4" t="str">
        <f aca="false">IF(N265&gt;1,"YES","no")</f>
        <v>no</v>
      </c>
    </row>
    <row r="266" customFormat="false" ht="15" hidden="false" customHeight="false" outlineLevel="0" collapsed="false">
      <c r="A266" s="4" t="s">
        <v>240</v>
      </c>
      <c r="B266" s="4"/>
      <c r="C266" s="4" t="s">
        <v>61</v>
      </c>
      <c r="D266" s="8" t="n">
        <v>300.04881</v>
      </c>
      <c r="E266" s="9" t="n">
        <v>9.663</v>
      </c>
      <c r="F266" s="10" t="n">
        <v>358846.970653077</v>
      </c>
      <c r="G266" s="10" t="n">
        <v>132371.9798265</v>
      </c>
      <c r="H266" s="10" t="n">
        <v>436043.702272203</v>
      </c>
      <c r="I266" s="10" t="n">
        <v>99277.7314455342</v>
      </c>
      <c r="J266" s="10" t="n">
        <v>397445.33646264</v>
      </c>
      <c r="K266" s="11" t="n">
        <v>1.2151243787251</v>
      </c>
      <c r="L266" s="11" t="n">
        <v>0.281103993984067</v>
      </c>
      <c r="M266" s="11" t="n">
        <v>0.339872540434055</v>
      </c>
      <c r="N266" s="11" t="n">
        <v>0.057860842190503</v>
      </c>
      <c r="O266" s="12" t="n">
        <v>0.281768271579514</v>
      </c>
      <c r="P266" s="12" t="n">
        <v>0.652060151640156</v>
      </c>
      <c r="Q266" s="4" t="n">
        <f aca="false">RANK(N266,$N$7:$N$307,0)</f>
        <v>260</v>
      </c>
      <c r="R266" s="4" t="n">
        <f aca="false">RANK(O266,$O$7:$O$307,1)</f>
        <v>128</v>
      </c>
      <c r="S266" s="4" t="n">
        <f aca="false">RANK(J266,$J$7:$J$307,0)</f>
        <v>252</v>
      </c>
      <c r="T266" s="4" t="str">
        <f aca="false">IF(O266&lt;0.05,"YES","no")</f>
        <v>no</v>
      </c>
      <c r="U266" s="4" t="str">
        <f aca="false">IF(P266&lt;0.05,"YES","no")</f>
        <v>no</v>
      </c>
      <c r="V266" s="4" t="str">
        <f aca="false">IF(N266&gt;1,"YES","no")</f>
        <v>no</v>
      </c>
    </row>
    <row r="267" customFormat="false" ht="15" hidden="false" customHeight="false" outlineLevel="0" collapsed="false">
      <c r="A267" s="4" t="s">
        <v>375</v>
      </c>
      <c r="B267" s="4"/>
      <c r="C267" s="4" t="s">
        <v>72</v>
      </c>
      <c r="D267" s="8" t="n">
        <v>283.06833</v>
      </c>
      <c r="E267" s="9" t="n">
        <v>8.572</v>
      </c>
      <c r="F267" s="10" t="n">
        <v>567056.574460298</v>
      </c>
      <c r="G267" s="10" t="n">
        <v>777977.083558301</v>
      </c>
      <c r="H267" s="10" t="n">
        <v>668742.7557996</v>
      </c>
      <c r="I267" s="10" t="n">
        <v>288130.703631548</v>
      </c>
      <c r="J267" s="10" t="n">
        <v>617899.665129949</v>
      </c>
      <c r="K267" s="11" t="n">
        <v>1.17932281525187</v>
      </c>
      <c r="L267" s="11" t="n">
        <v>0.237958680332962</v>
      </c>
      <c r="M267" s="11" t="n">
        <v>0.0945170785664395</v>
      </c>
      <c r="N267" s="11" t="n">
        <v>0.0565298851149124</v>
      </c>
      <c r="O267" s="12" t="n">
        <v>0.773592539693427</v>
      </c>
      <c r="P267" s="12" t="n">
        <v>0.913142566461653</v>
      </c>
      <c r="Q267" s="4" t="n">
        <f aca="false">RANK(N267,$N$7:$N$307,0)</f>
        <v>261</v>
      </c>
      <c r="R267" s="4" t="n">
        <f aca="false">RANK(O267,$O$7:$O$307,1)</f>
        <v>255</v>
      </c>
      <c r="S267" s="4" t="n">
        <f aca="false">RANK(J267,$J$7:$J$307,0)</f>
        <v>234</v>
      </c>
      <c r="T267" s="4" t="str">
        <f aca="false">IF(O267&lt;0.05,"YES","no")</f>
        <v>no</v>
      </c>
      <c r="U267" s="4" t="str">
        <f aca="false">IF(P267&lt;0.05,"YES","no")</f>
        <v>no</v>
      </c>
      <c r="V267" s="4" t="str">
        <f aca="false">IF(N267&gt;1,"YES","no")</f>
        <v>no</v>
      </c>
    </row>
    <row r="268" customFormat="false" ht="15" hidden="false" customHeight="false" outlineLevel="0" collapsed="false">
      <c r="A268" s="4" t="s">
        <v>346</v>
      </c>
      <c r="B268" s="4"/>
      <c r="C268" s="4" t="s">
        <v>72</v>
      </c>
      <c r="D268" s="8" t="n">
        <v>487.34341</v>
      </c>
      <c r="E268" s="9" t="n">
        <v>4.214</v>
      </c>
      <c r="F268" s="10" t="n">
        <v>35604.795395932</v>
      </c>
      <c r="G268" s="10" t="n">
        <v>22546.3950889259</v>
      </c>
      <c r="H268" s="10" t="n">
        <v>67018.2607071848</v>
      </c>
      <c r="I268" s="10" t="n">
        <v>26980.9469040668</v>
      </c>
      <c r="J268" s="10" t="n">
        <v>51311.5280515584</v>
      </c>
      <c r="K268" s="11" t="n">
        <v>1.88228186574109</v>
      </c>
      <c r="L268" s="11" t="n">
        <v>0.912482683251547</v>
      </c>
      <c r="M268" s="11" t="n">
        <v>0.569057918322584</v>
      </c>
      <c r="N268" s="11" t="n">
        <v>0.0563400315308509</v>
      </c>
      <c r="O268" s="12" t="n">
        <v>0.0543063661701352</v>
      </c>
      <c r="P268" s="12" t="n">
        <v>0.510819256787834</v>
      </c>
      <c r="Q268" s="4" t="n">
        <f aca="false">RANK(N268,$N$7:$N$307,0)</f>
        <v>262</v>
      </c>
      <c r="R268" s="4" t="n">
        <f aca="false">RANK(O268,$O$7:$O$307,1)</f>
        <v>32</v>
      </c>
      <c r="S268" s="4" t="n">
        <f aca="false">RANK(J268,$J$7:$J$307,0)</f>
        <v>298</v>
      </c>
      <c r="T268" s="4" t="str">
        <f aca="false">IF(O268&lt;0.05,"YES","no")</f>
        <v>no</v>
      </c>
      <c r="U268" s="4" t="str">
        <f aca="false">IF(P268&lt;0.05,"YES","no")</f>
        <v>no</v>
      </c>
      <c r="V268" s="4" t="str">
        <f aca="false">IF(N268&gt;1,"YES","no")</f>
        <v>no</v>
      </c>
    </row>
    <row r="269" customFormat="false" ht="15" hidden="false" customHeight="false" outlineLevel="0" collapsed="false">
      <c r="A269" s="4" t="s">
        <v>372</v>
      </c>
      <c r="B269" s="4"/>
      <c r="C269" s="4" t="s">
        <v>72</v>
      </c>
      <c r="D269" s="8" t="n">
        <v>243.06219</v>
      </c>
      <c r="E269" s="9" t="n">
        <v>9.435</v>
      </c>
      <c r="F269" s="10" t="n">
        <v>221701.290251689</v>
      </c>
      <c r="G269" s="10" t="n">
        <v>35317.1122662406</v>
      </c>
      <c r="H269" s="10" t="n">
        <v>187569.286452328</v>
      </c>
      <c r="I269" s="10" t="n">
        <v>45057.7928355136</v>
      </c>
      <c r="J269" s="10" t="n">
        <v>204635.288352009</v>
      </c>
      <c r="K269" s="11" t="n">
        <v>0.846045082729957</v>
      </c>
      <c r="L269" s="11" t="n">
        <v>-0.241193553412094</v>
      </c>
      <c r="M269" s="11" t="n">
        <v>0.419263402034493</v>
      </c>
      <c r="N269" s="11" t="n">
        <v>0.055410373230467</v>
      </c>
      <c r="O269" s="12" t="n">
        <v>0.176584519099423</v>
      </c>
      <c r="P269" s="12" t="n">
        <v>0.59081559788972</v>
      </c>
      <c r="Q269" s="4" t="n">
        <f aca="false">RANK(N269,$N$7:$N$307,0)</f>
        <v>263</v>
      </c>
      <c r="R269" s="4" t="n">
        <f aca="false">RANK(O269,$O$7:$O$307,1)</f>
        <v>88</v>
      </c>
      <c r="S269" s="4" t="n">
        <f aca="false">RANK(J269,$J$7:$J$307,0)</f>
        <v>274</v>
      </c>
      <c r="T269" s="4" t="str">
        <f aca="false">IF(O269&lt;0.05,"YES","no")</f>
        <v>no</v>
      </c>
      <c r="U269" s="4" t="str">
        <f aca="false">IF(P269&lt;0.05,"YES","no")</f>
        <v>no</v>
      </c>
      <c r="V269" s="4" t="str">
        <f aca="false">IF(N269&gt;1,"YES","no")</f>
        <v>no</v>
      </c>
    </row>
    <row r="270" customFormat="false" ht="15" hidden="false" customHeight="false" outlineLevel="0" collapsed="false">
      <c r="A270" s="4" t="s">
        <v>114</v>
      </c>
      <c r="B270" s="4"/>
      <c r="C270" s="4" t="s">
        <v>72</v>
      </c>
      <c r="D270" s="8" t="n">
        <v>95.06033</v>
      </c>
      <c r="E270" s="9" t="n">
        <v>11.093</v>
      </c>
      <c r="F270" s="10" t="n">
        <v>9636728.59876442</v>
      </c>
      <c r="G270" s="10" t="n">
        <v>4696685.67745028</v>
      </c>
      <c r="H270" s="10" t="n">
        <v>9169519.75108794</v>
      </c>
      <c r="I270" s="10" t="n">
        <v>9799124.89427358</v>
      </c>
      <c r="J270" s="10" t="n">
        <v>9403124.17492618</v>
      </c>
      <c r="K270" s="11" t="n">
        <v>0.951517899161715</v>
      </c>
      <c r="L270" s="11" t="n">
        <v>-0.0716972993560519</v>
      </c>
      <c r="M270" s="11" t="n">
        <v>0.033285467442502</v>
      </c>
      <c r="N270" s="11" t="n">
        <v>0.0552348609159629</v>
      </c>
      <c r="O270" s="12" t="n">
        <v>0.919006060953939</v>
      </c>
      <c r="P270" s="12" t="n">
        <v>0.953864911541847</v>
      </c>
      <c r="Q270" s="4" t="n">
        <f aca="false">RANK(N270,$N$7:$N$307,0)</f>
        <v>264</v>
      </c>
      <c r="R270" s="4" t="n">
        <f aca="false">RANK(O270,$O$7:$O$307,1)</f>
        <v>290</v>
      </c>
      <c r="S270" s="4" t="n">
        <f aca="false">RANK(J270,$J$7:$J$307,0)</f>
        <v>102</v>
      </c>
      <c r="T270" s="4" t="str">
        <f aca="false">IF(O270&lt;0.05,"YES","no")</f>
        <v>no</v>
      </c>
      <c r="U270" s="4" t="str">
        <f aca="false">IF(P270&lt;0.05,"YES","no")</f>
        <v>no</v>
      </c>
      <c r="V270" s="4" t="str">
        <f aca="false">IF(N270&gt;1,"YES","no")</f>
        <v>no</v>
      </c>
    </row>
    <row r="271" customFormat="false" ht="15" hidden="false" customHeight="false" outlineLevel="0" collapsed="false">
      <c r="A271" s="4" t="s">
        <v>244</v>
      </c>
      <c r="B271" s="4"/>
      <c r="C271" s="4" t="s">
        <v>72</v>
      </c>
      <c r="D271" s="8" t="n">
        <v>204.08663</v>
      </c>
      <c r="E271" s="9" t="n">
        <v>9.532</v>
      </c>
      <c r="F271" s="10" t="n">
        <v>782948.617134325</v>
      </c>
      <c r="G271" s="10" t="n">
        <v>513451.637536803</v>
      </c>
      <c r="H271" s="10" t="n">
        <v>784345.671740648</v>
      </c>
      <c r="I271" s="10" t="n">
        <v>456295.212941569</v>
      </c>
      <c r="J271" s="10" t="n">
        <v>783647.144437486</v>
      </c>
      <c r="K271" s="11" t="n">
        <v>1.00178435030824</v>
      </c>
      <c r="L271" s="11" t="n">
        <v>0.00257197936662867</v>
      </c>
      <c r="M271" s="11" t="n">
        <v>0.0015754044004019</v>
      </c>
      <c r="N271" s="11" t="n">
        <v>0.0541687378773554</v>
      </c>
      <c r="O271" s="12" t="n">
        <v>0.996124371704304</v>
      </c>
      <c r="P271" s="12" t="n">
        <v>0.998023664598992</v>
      </c>
      <c r="Q271" s="4" t="n">
        <f aca="false">RANK(N271,$N$7:$N$307,0)</f>
        <v>265</v>
      </c>
      <c r="R271" s="4" t="n">
        <f aca="false">RANK(O271,$O$7:$O$307,1)</f>
        <v>300</v>
      </c>
      <c r="S271" s="4" t="n">
        <f aca="false">RANK(J271,$J$7:$J$307,0)</f>
        <v>226</v>
      </c>
      <c r="T271" s="4" t="str">
        <f aca="false">IF(O271&lt;0.05,"YES","no")</f>
        <v>no</v>
      </c>
      <c r="U271" s="4" t="str">
        <f aca="false">IF(P271&lt;0.05,"YES","no")</f>
        <v>no</v>
      </c>
      <c r="V271" s="4" t="str">
        <f aca="false">IF(N271&gt;1,"YES","no")</f>
        <v>no</v>
      </c>
    </row>
    <row r="272" customFormat="false" ht="15" hidden="false" customHeight="false" outlineLevel="0" collapsed="false">
      <c r="A272" s="4" t="s">
        <v>357</v>
      </c>
      <c r="B272" s="4" t="s">
        <v>358</v>
      </c>
      <c r="C272" s="4" t="s">
        <v>72</v>
      </c>
      <c r="D272" s="8" t="n">
        <v>588.07507</v>
      </c>
      <c r="E272" s="9" t="n">
        <v>10.17</v>
      </c>
      <c r="F272" s="10" t="n">
        <v>1054608.62718908</v>
      </c>
      <c r="G272" s="10" t="n">
        <v>293640.789132728</v>
      </c>
      <c r="H272" s="10" t="n">
        <v>1091513.36519875</v>
      </c>
      <c r="I272" s="10" t="n">
        <v>333399.479197073</v>
      </c>
      <c r="J272" s="10" t="n">
        <v>1073060.99619391</v>
      </c>
      <c r="K272" s="11" t="n">
        <v>1.03499377594515</v>
      </c>
      <c r="L272" s="11" t="n">
        <v>0.0496220919370922</v>
      </c>
      <c r="M272" s="11" t="n">
        <v>0.0642109186177144</v>
      </c>
      <c r="N272" s="11" t="n">
        <v>0.0541420670352194</v>
      </c>
      <c r="O272" s="12" t="n">
        <v>0.842910463929646</v>
      </c>
      <c r="P272" s="12" t="n">
        <v>0.923481941786446</v>
      </c>
      <c r="Q272" s="4" t="n">
        <f aca="false">RANK(N272,$N$7:$N$307,0)</f>
        <v>266</v>
      </c>
      <c r="R272" s="4" t="n">
        <f aca="false">RANK(O272,$O$7:$O$307,1)</f>
        <v>270</v>
      </c>
      <c r="S272" s="4" t="n">
        <f aca="false">RANK(J272,$J$7:$J$307,0)</f>
        <v>213</v>
      </c>
      <c r="T272" s="4" t="str">
        <f aca="false">IF(O272&lt;0.05,"YES","no")</f>
        <v>no</v>
      </c>
      <c r="U272" s="4" t="str">
        <f aca="false">IF(P272&lt;0.05,"YES","no")</f>
        <v>no</v>
      </c>
      <c r="V272" s="4" t="str">
        <f aca="false">IF(N272&gt;1,"YES","no")</f>
        <v>no</v>
      </c>
    </row>
    <row r="273" customFormat="false" ht="15" hidden="false" customHeight="false" outlineLevel="0" collapsed="false">
      <c r="A273" s="4" t="s">
        <v>241</v>
      </c>
      <c r="B273" s="4"/>
      <c r="C273" s="4" t="s">
        <v>72</v>
      </c>
      <c r="D273" s="8" t="n">
        <v>189.14845</v>
      </c>
      <c r="E273" s="9" t="n">
        <v>5.023</v>
      </c>
      <c r="F273" s="10" t="n">
        <v>1471810.27526024</v>
      </c>
      <c r="G273" s="10" t="n">
        <v>995205.522807378</v>
      </c>
      <c r="H273" s="10" t="n">
        <v>1632639.69336122</v>
      </c>
      <c r="I273" s="10" t="n">
        <v>539098.395879458</v>
      </c>
      <c r="J273" s="10" t="n">
        <v>1552224.98431073</v>
      </c>
      <c r="K273" s="11" t="n">
        <v>1.10927319968095</v>
      </c>
      <c r="L273" s="11" t="n">
        <v>0.14961472644157</v>
      </c>
      <c r="M273" s="11" t="n">
        <v>0.109406047106863</v>
      </c>
      <c r="N273" s="11" t="n">
        <v>0.0507711818454488</v>
      </c>
      <c r="O273" s="12" t="n">
        <v>0.737115173991757</v>
      </c>
      <c r="P273" s="12" t="n">
        <v>0.907830327241279</v>
      </c>
      <c r="Q273" s="4" t="n">
        <f aca="false">RANK(N273,$N$7:$N$307,0)</f>
        <v>267</v>
      </c>
      <c r="R273" s="4" t="n">
        <f aca="false">RANK(O273,$O$7:$O$307,1)</f>
        <v>244</v>
      </c>
      <c r="S273" s="4" t="n">
        <f aca="false">RANK(J273,$J$7:$J$307,0)</f>
        <v>195</v>
      </c>
      <c r="T273" s="4" t="str">
        <f aca="false">IF(O273&lt;0.05,"YES","no")</f>
        <v>no</v>
      </c>
      <c r="U273" s="4" t="str">
        <f aca="false">IF(P273&lt;0.05,"YES","no")</f>
        <v>no</v>
      </c>
      <c r="V273" s="4" t="str">
        <f aca="false">IF(N273&gt;1,"YES","no")</f>
        <v>no</v>
      </c>
    </row>
    <row r="274" customFormat="false" ht="15" hidden="false" customHeight="false" outlineLevel="0" collapsed="false">
      <c r="A274" s="4" t="s">
        <v>308</v>
      </c>
      <c r="B274" s="4"/>
      <c r="C274" s="4" t="s">
        <v>61</v>
      </c>
      <c r="D274" s="8" t="n">
        <v>383.11398</v>
      </c>
      <c r="E274" s="9" t="n">
        <v>10.186</v>
      </c>
      <c r="F274" s="10" t="n">
        <v>1025122.83422216</v>
      </c>
      <c r="G274" s="10" t="n">
        <v>344203.01535649</v>
      </c>
      <c r="H274" s="10" t="n">
        <v>989798.60901707</v>
      </c>
      <c r="I274" s="10" t="n">
        <v>304752.314169677</v>
      </c>
      <c r="J274" s="10" t="n">
        <v>1007460.72161961</v>
      </c>
      <c r="K274" s="11" t="n">
        <v>0.965541470713714</v>
      </c>
      <c r="L274" s="11" t="n">
        <v>-0.0505898695714708</v>
      </c>
      <c r="M274" s="11" t="n">
        <v>0.0594127432390858</v>
      </c>
      <c r="N274" s="11" t="n">
        <v>0.0504880207080782</v>
      </c>
      <c r="O274" s="12" t="n">
        <v>0.854529258666861</v>
      </c>
      <c r="P274" s="12" t="n">
        <v>0.923481941786446</v>
      </c>
      <c r="Q274" s="4" t="n">
        <f aca="false">RANK(N274,$N$7:$N$307,0)</f>
        <v>268</v>
      </c>
      <c r="R274" s="4" t="n">
        <f aca="false">RANK(O274,$O$7:$O$307,1)</f>
        <v>278</v>
      </c>
      <c r="S274" s="4" t="n">
        <f aca="false">RANK(J274,$J$7:$J$307,0)</f>
        <v>214</v>
      </c>
      <c r="T274" s="4" t="str">
        <f aca="false">IF(O274&lt;0.05,"YES","no")</f>
        <v>no</v>
      </c>
      <c r="U274" s="4" t="str">
        <f aca="false">IF(P274&lt;0.05,"YES","no")</f>
        <v>no</v>
      </c>
      <c r="V274" s="4" t="str">
        <f aca="false">IF(N274&gt;1,"YES","no")</f>
        <v>no</v>
      </c>
    </row>
    <row r="275" customFormat="false" ht="15" hidden="false" customHeight="false" outlineLevel="0" collapsed="false">
      <c r="A275" s="4" t="s">
        <v>400</v>
      </c>
      <c r="B275" s="4"/>
      <c r="C275" s="4" t="s">
        <v>72</v>
      </c>
      <c r="D275" s="8" t="n">
        <v>209.06786</v>
      </c>
      <c r="E275" s="9" t="n">
        <v>4.923</v>
      </c>
      <c r="F275" s="10" t="n">
        <v>52192.140173325</v>
      </c>
      <c r="G275" s="10" t="n">
        <v>47604.097374175</v>
      </c>
      <c r="H275" s="10" t="n">
        <v>105595.71638161</v>
      </c>
      <c r="I275" s="10" t="n">
        <v>130370.430072279</v>
      </c>
      <c r="J275" s="10" t="n">
        <v>78893.9282774673</v>
      </c>
      <c r="K275" s="11" t="n">
        <v>2.02321108180152</v>
      </c>
      <c r="L275" s="11" t="n">
        <v>1.01664684425709</v>
      </c>
      <c r="M275" s="11" t="n">
        <v>0.285632600919047</v>
      </c>
      <c r="N275" s="11" t="n">
        <v>0.0498754780180111</v>
      </c>
      <c r="O275" s="12" t="n">
        <v>0.380600353947682</v>
      </c>
      <c r="P275" s="12" t="n">
        <v>0.743900691806834</v>
      </c>
      <c r="Q275" s="4" t="n">
        <f aca="false">RANK(N275,$N$7:$N$307,0)</f>
        <v>269</v>
      </c>
      <c r="R275" s="4" t="n">
        <f aca="false">RANK(O275,$O$7:$O$307,1)</f>
        <v>154</v>
      </c>
      <c r="S275" s="4" t="n">
        <f aca="false">RANK(J275,$J$7:$J$307,0)</f>
        <v>292</v>
      </c>
      <c r="T275" s="4" t="str">
        <f aca="false">IF(O275&lt;0.05,"YES","no")</f>
        <v>no</v>
      </c>
      <c r="U275" s="4" t="str">
        <f aca="false">IF(P275&lt;0.05,"YES","no")</f>
        <v>no</v>
      </c>
      <c r="V275" s="4" t="str">
        <f aca="false">IF(N275&gt;1,"YES","no")</f>
        <v>no</v>
      </c>
    </row>
    <row r="276" customFormat="false" ht="15" hidden="false" customHeight="false" outlineLevel="0" collapsed="false">
      <c r="A276" s="4" t="s">
        <v>378</v>
      </c>
      <c r="B276" s="4"/>
      <c r="C276" s="4" t="s">
        <v>61</v>
      </c>
      <c r="D276" s="8" t="n">
        <v>176.03867</v>
      </c>
      <c r="E276" s="9" t="n">
        <v>5.022</v>
      </c>
      <c r="F276" s="10" t="n">
        <v>378670.814780813</v>
      </c>
      <c r="G276" s="10" t="n">
        <v>187434.377856777</v>
      </c>
      <c r="H276" s="10" t="n">
        <v>440388.207251476</v>
      </c>
      <c r="I276" s="10" t="n">
        <v>116660.144773182</v>
      </c>
      <c r="J276" s="10" t="n">
        <v>409529.511016144</v>
      </c>
      <c r="K276" s="11" t="n">
        <v>1.16298428624975</v>
      </c>
      <c r="L276" s="11" t="n">
        <v>0.217831603859531</v>
      </c>
      <c r="M276" s="11" t="n">
        <v>0.211633607358064</v>
      </c>
      <c r="N276" s="11" t="n">
        <v>0.048412154960512</v>
      </c>
      <c r="O276" s="12" t="n">
        <v>0.512015311764887</v>
      </c>
      <c r="P276" s="12" t="n">
        <v>0.811140046532794</v>
      </c>
      <c r="Q276" s="4" t="n">
        <f aca="false">RANK(N276,$N$7:$N$307,0)</f>
        <v>270</v>
      </c>
      <c r="R276" s="4" t="n">
        <f aca="false">RANK(O276,$O$7:$O$307,1)</f>
        <v>190</v>
      </c>
      <c r="S276" s="4" t="n">
        <f aca="false">RANK(J276,$J$7:$J$307,0)</f>
        <v>249</v>
      </c>
      <c r="T276" s="4" t="str">
        <f aca="false">IF(O276&lt;0.05,"YES","no")</f>
        <v>no</v>
      </c>
      <c r="U276" s="4" t="str">
        <f aca="false">IF(P276&lt;0.05,"YES","no")</f>
        <v>no</v>
      </c>
      <c r="V276" s="4" t="str">
        <f aca="false">IF(N276&gt;1,"YES","no")</f>
        <v>no</v>
      </c>
    </row>
    <row r="277" customFormat="false" ht="15" hidden="false" customHeight="false" outlineLevel="0" collapsed="false">
      <c r="A277" s="4" t="s">
        <v>362</v>
      </c>
      <c r="B277" s="4"/>
      <c r="C277" s="4" t="s">
        <v>61</v>
      </c>
      <c r="D277" s="8" t="n">
        <v>151.06126</v>
      </c>
      <c r="E277" s="9" t="n">
        <v>10.081</v>
      </c>
      <c r="F277" s="10" t="n">
        <v>301711.821219966</v>
      </c>
      <c r="G277" s="10" t="n">
        <v>127903.792295928</v>
      </c>
      <c r="H277" s="10" t="n">
        <v>333223.751699735</v>
      </c>
      <c r="I277" s="10" t="n">
        <v>122637.473807715</v>
      </c>
      <c r="J277" s="10" t="n">
        <v>317467.78645985</v>
      </c>
      <c r="K277" s="11" t="n">
        <v>1.1044438045296</v>
      </c>
      <c r="L277" s="11" t="n">
        <v>0.143320014447853</v>
      </c>
      <c r="M277" s="11" t="n">
        <v>0.136461043421493</v>
      </c>
      <c r="N277" s="11" t="n">
        <v>0.0467051631680039</v>
      </c>
      <c r="O277" s="12" t="n">
        <v>0.67239351376909</v>
      </c>
      <c r="P277" s="12" t="n">
        <v>0.881168181006632</v>
      </c>
      <c r="Q277" s="4" t="n">
        <f aca="false">RANK(N277,$N$7:$N$307,0)</f>
        <v>271</v>
      </c>
      <c r="R277" s="4" t="n">
        <f aca="false">RANK(O277,$O$7:$O$307,1)</f>
        <v>229</v>
      </c>
      <c r="S277" s="4" t="n">
        <f aca="false">RANK(J277,$J$7:$J$307,0)</f>
        <v>261</v>
      </c>
      <c r="T277" s="4" t="str">
        <f aca="false">IF(O277&lt;0.05,"YES","no")</f>
        <v>no</v>
      </c>
      <c r="U277" s="4" t="str">
        <f aca="false">IF(P277&lt;0.05,"YES","no")</f>
        <v>no</v>
      </c>
      <c r="V277" s="4" t="str">
        <f aca="false">IF(N277&gt;1,"YES","no")</f>
        <v>no</v>
      </c>
    </row>
    <row r="278" customFormat="false" ht="15" hidden="false" customHeight="false" outlineLevel="0" collapsed="false">
      <c r="A278" s="4" t="s">
        <v>396</v>
      </c>
      <c r="B278" s="4"/>
      <c r="C278" s="4" t="s">
        <v>61</v>
      </c>
      <c r="D278" s="8" t="n">
        <v>565.04834</v>
      </c>
      <c r="E278" s="9" t="n">
        <v>9.699</v>
      </c>
      <c r="F278" s="10" t="n">
        <v>241116.192185119</v>
      </c>
      <c r="G278" s="10" t="n">
        <v>87504.9425046981</v>
      </c>
      <c r="H278" s="10" t="n">
        <v>281545.152249731</v>
      </c>
      <c r="I278" s="10" t="n">
        <v>102346.802101896</v>
      </c>
      <c r="J278" s="10" t="n">
        <v>261330.672217425</v>
      </c>
      <c r="K278" s="11" t="n">
        <v>1.16767418105862</v>
      </c>
      <c r="L278" s="11" t="n">
        <v>0.223637771696116</v>
      </c>
      <c r="M278" s="11" t="n">
        <v>0.226520422595251</v>
      </c>
      <c r="N278" s="11" t="n">
        <v>0.046586451885735</v>
      </c>
      <c r="O278" s="12" t="n">
        <v>0.479365931714456</v>
      </c>
      <c r="P278" s="12" t="n">
        <v>0.785962678144081</v>
      </c>
      <c r="Q278" s="4" t="n">
        <f aca="false">RANK(N278,$N$7:$N$307,0)</f>
        <v>272</v>
      </c>
      <c r="R278" s="4" t="n">
        <f aca="false">RANK(O278,$O$7:$O$307,1)</f>
        <v>182</v>
      </c>
      <c r="S278" s="4" t="n">
        <f aca="false">RANK(J278,$J$7:$J$307,0)</f>
        <v>265</v>
      </c>
      <c r="T278" s="4" t="str">
        <f aca="false">IF(O278&lt;0.05,"YES","no")</f>
        <v>no</v>
      </c>
      <c r="U278" s="4" t="str">
        <f aca="false">IF(P278&lt;0.05,"YES","no")</f>
        <v>no</v>
      </c>
      <c r="V278" s="4" t="str">
        <f aca="false">IF(N278&gt;1,"YES","no")</f>
        <v>no</v>
      </c>
    </row>
    <row r="279" customFormat="false" ht="15" hidden="false" customHeight="false" outlineLevel="0" collapsed="false">
      <c r="A279" s="4" t="s">
        <v>295</v>
      </c>
      <c r="B279" s="4"/>
      <c r="C279" s="4" t="s">
        <v>61</v>
      </c>
      <c r="D279" s="8" t="n">
        <v>282.08428</v>
      </c>
      <c r="E279" s="9" t="n">
        <v>9.983</v>
      </c>
      <c r="F279" s="10" t="n">
        <v>885885.331875317</v>
      </c>
      <c r="G279" s="10" t="n">
        <v>200402.2973889</v>
      </c>
      <c r="H279" s="10" t="n">
        <v>1000893.82463295</v>
      </c>
      <c r="I279" s="10" t="n">
        <v>572074.664434343</v>
      </c>
      <c r="J279" s="10" t="n">
        <v>943389.578254132</v>
      </c>
      <c r="K279" s="11" t="n">
        <v>1.12982322725016</v>
      </c>
      <c r="L279" s="11" t="n">
        <v>0.176097065455043</v>
      </c>
      <c r="M279" s="11" t="n">
        <v>0.145404444178132</v>
      </c>
      <c r="N279" s="11" t="n">
        <v>0.0461024037778292</v>
      </c>
      <c r="O279" s="12" t="n">
        <v>0.657964193054027</v>
      </c>
      <c r="P279" s="12" t="n">
        <v>0.881168181006632</v>
      </c>
      <c r="Q279" s="4" t="n">
        <f aca="false">RANK(N279,$N$7:$N$307,0)</f>
        <v>273</v>
      </c>
      <c r="R279" s="4" t="n">
        <f aca="false">RANK(O279,$O$7:$O$307,1)</f>
        <v>222</v>
      </c>
      <c r="S279" s="4" t="n">
        <f aca="false">RANK(J279,$J$7:$J$307,0)</f>
        <v>216</v>
      </c>
      <c r="T279" s="4" t="str">
        <f aca="false">IF(O279&lt;0.05,"YES","no")</f>
        <v>no</v>
      </c>
      <c r="U279" s="4" t="str">
        <f aca="false">IF(P279&lt;0.05,"YES","no")</f>
        <v>no</v>
      </c>
      <c r="V279" s="4" t="str">
        <f aca="false">IF(N279&gt;1,"YES","no")</f>
        <v>no</v>
      </c>
    </row>
    <row r="280" customFormat="false" ht="15" hidden="false" customHeight="false" outlineLevel="0" collapsed="false">
      <c r="A280" s="4" t="s">
        <v>326</v>
      </c>
      <c r="B280" s="4"/>
      <c r="C280" s="4" t="s">
        <v>72</v>
      </c>
      <c r="D280" s="8" t="n">
        <v>209.09184</v>
      </c>
      <c r="E280" s="9" t="n">
        <v>9.133</v>
      </c>
      <c r="F280" s="10" t="n">
        <v>225655.642130644</v>
      </c>
      <c r="G280" s="10" t="n">
        <v>82269.6555528893</v>
      </c>
      <c r="H280" s="10" t="n">
        <v>245783.423375397</v>
      </c>
      <c r="I280" s="10" t="n">
        <v>76331.4493857161</v>
      </c>
      <c r="J280" s="10" t="n">
        <v>235719.532753021</v>
      </c>
      <c r="K280" s="11" t="n">
        <v>1.08919688891758</v>
      </c>
      <c r="L280" s="11" t="n">
        <v>0.123264766718012</v>
      </c>
      <c r="M280" s="11" t="n">
        <v>0.137602131595796</v>
      </c>
      <c r="N280" s="11" t="n">
        <v>0.042874282180204</v>
      </c>
      <c r="O280" s="12" t="n">
        <v>0.66982568623243</v>
      </c>
      <c r="P280" s="12" t="n">
        <v>0.881168181006632</v>
      </c>
      <c r="Q280" s="4" t="n">
        <f aca="false">RANK(N280,$N$7:$N$307,0)</f>
        <v>274</v>
      </c>
      <c r="R280" s="4" t="n">
        <f aca="false">RANK(O280,$O$7:$O$307,1)</f>
        <v>227</v>
      </c>
      <c r="S280" s="4" t="n">
        <f aca="false">RANK(J280,$J$7:$J$307,0)</f>
        <v>270</v>
      </c>
      <c r="T280" s="4" t="str">
        <f aca="false">IF(O280&lt;0.05,"YES","no")</f>
        <v>no</v>
      </c>
      <c r="U280" s="4" t="str">
        <f aca="false">IF(P280&lt;0.05,"YES","no")</f>
        <v>no</v>
      </c>
      <c r="V280" s="4" t="str">
        <f aca="false">IF(N280&gt;1,"YES","no")</f>
        <v>no</v>
      </c>
    </row>
    <row r="281" customFormat="false" ht="15" hidden="false" customHeight="false" outlineLevel="0" collapsed="false">
      <c r="A281" s="4" t="s">
        <v>285</v>
      </c>
      <c r="B281" s="4"/>
      <c r="C281" s="4" t="s">
        <v>72</v>
      </c>
      <c r="D281" s="8" t="n">
        <v>306.06015</v>
      </c>
      <c r="E281" s="9" t="n">
        <v>9.197</v>
      </c>
      <c r="F281" s="10" t="n">
        <v>80819.9598817617</v>
      </c>
      <c r="G281" s="10" t="n">
        <v>58696.2529833459</v>
      </c>
      <c r="H281" s="10" t="n">
        <v>81873.3156901845</v>
      </c>
      <c r="I281" s="10" t="n">
        <v>92012.2633618471</v>
      </c>
      <c r="J281" s="10" t="n">
        <v>81346.6377859731</v>
      </c>
      <c r="K281" s="11" t="n">
        <v>1.0130333621789</v>
      </c>
      <c r="L281" s="11" t="n">
        <v>0.0186816871276805</v>
      </c>
      <c r="M281" s="11" t="n">
        <v>0.0074757579859184</v>
      </c>
      <c r="N281" s="11" t="n">
        <v>0.0411231456729439</v>
      </c>
      <c r="O281" s="12" t="n">
        <v>0.981685091290464</v>
      </c>
      <c r="P281" s="12" t="n">
        <v>0.990836131593469</v>
      </c>
      <c r="Q281" s="4" t="n">
        <f aca="false">RANK(N281,$N$7:$N$307,0)</f>
        <v>275</v>
      </c>
      <c r="R281" s="4" t="n">
        <f aca="false">RANK(O281,$O$7:$O$307,1)</f>
        <v>298</v>
      </c>
      <c r="S281" s="4" t="n">
        <f aca="false">RANK(J281,$J$7:$J$307,0)</f>
        <v>291</v>
      </c>
      <c r="T281" s="4" t="str">
        <f aca="false">IF(O281&lt;0.05,"YES","no")</f>
        <v>no</v>
      </c>
      <c r="U281" s="4" t="str">
        <f aca="false">IF(P281&lt;0.05,"YES","no")</f>
        <v>no</v>
      </c>
      <c r="V281" s="4" t="str">
        <f aca="false">IF(N281&gt;1,"YES","no")</f>
        <v>no</v>
      </c>
    </row>
    <row r="282" customFormat="false" ht="15" hidden="false" customHeight="false" outlineLevel="0" collapsed="false">
      <c r="A282" s="4" t="s">
        <v>371</v>
      </c>
      <c r="B282" s="4"/>
      <c r="C282" s="4" t="s">
        <v>72</v>
      </c>
      <c r="D282" s="8" t="n">
        <v>162.02303</v>
      </c>
      <c r="E282" s="9" t="n">
        <v>6.824</v>
      </c>
      <c r="F282" s="10" t="n">
        <v>117945.951415425</v>
      </c>
      <c r="G282" s="10" t="n">
        <v>59853.5204554425</v>
      </c>
      <c r="H282" s="10" t="n">
        <v>153087.7212505</v>
      </c>
      <c r="I282" s="10" t="n">
        <v>75485.9073050998</v>
      </c>
      <c r="J282" s="10" t="n">
        <v>135516.836332963</v>
      </c>
      <c r="K282" s="11" t="n">
        <v>1.2979480805687</v>
      </c>
      <c r="L282" s="11" t="n">
        <v>0.376232675013352</v>
      </c>
      <c r="M282" s="11" t="n">
        <v>0.2719143861843</v>
      </c>
      <c r="N282" s="11" t="n">
        <v>0.0403195116049302</v>
      </c>
      <c r="O282" s="12" t="n">
        <v>0.393629432384483</v>
      </c>
      <c r="P282" s="12" t="n">
        <v>0.749888981947654</v>
      </c>
      <c r="Q282" s="4" t="n">
        <f aca="false">RANK(N282,$N$7:$N$307,0)</f>
        <v>276</v>
      </c>
      <c r="R282" s="4" t="n">
        <f aca="false">RANK(O282,$O$7:$O$307,1)</f>
        <v>158</v>
      </c>
      <c r="S282" s="4" t="n">
        <f aca="false">RANK(J282,$J$7:$J$307,0)</f>
        <v>284</v>
      </c>
      <c r="T282" s="4" t="str">
        <f aca="false">IF(O282&lt;0.05,"YES","no")</f>
        <v>no</v>
      </c>
      <c r="U282" s="4" t="str">
        <f aca="false">IF(P282&lt;0.05,"YES","no")</f>
        <v>no</v>
      </c>
      <c r="V282" s="4" t="str">
        <f aca="false">IF(N282&gt;1,"YES","no")</f>
        <v>no</v>
      </c>
    </row>
    <row r="283" customFormat="false" ht="15" hidden="false" customHeight="false" outlineLevel="0" collapsed="false">
      <c r="A283" s="4" t="s">
        <v>345</v>
      </c>
      <c r="B283" s="4"/>
      <c r="C283" s="4" t="s">
        <v>72</v>
      </c>
      <c r="D283" s="8" t="n">
        <v>208.0967</v>
      </c>
      <c r="E283" s="9" t="n">
        <v>5.003</v>
      </c>
      <c r="F283" s="10" t="n">
        <v>103238.947262881</v>
      </c>
      <c r="G283" s="10" t="n">
        <v>51277.1598584847</v>
      </c>
      <c r="H283" s="10" t="n">
        <v>132822.250531164</v>
      </c>
      <c r="I283" s="10" t="n">
        <v>53912.7894962299</v>
      </c>
      <c r="J283" s="10" t="n">
        <v>118030.598897022</v>
      </c>
      <c r="K283" s="11" t="n">
        <v>1.28655177190983</v>
      </c>
      <c r="L283" s="11" t="n">
        <v>0.363509513484249</v>
      </c>
      <c r="M283" s="11" t="n">
        <v>0.294339635835307</v>
      </c>
      <c r="N283" s="11" t="n">
        <v>0.0367608789954866</v>
      </c>
      <c r="O283" s="12" t="n">
        <v>0.353118148207946</v>
      </c>
      <c r="P283" s="12" t="n">
        <v>0.728605835966894</v>
      </c>
      <c r="Q283" s="4" t="n">
        <f aca="false">RANK(N283,$N$7:$N$307,0)</f>
        <v>277</v>
      </c>
      <c r="R283" s="4" t="n">
        <f aca="false">RANK(O283,$O$7:$O$307,1)</f>
        <v>145</v>
      </c>
      <c r="S283" s="4" t="n">
        <f aca="false">RANK(J283,$J$7:$J$307,0)</f>
        <v>286</v>
      </c>
      <c r="T283" s="4" t="str">
        <f aca="false">IF(O283&lt;0.05,"YES","no")</f>
        <v>no</v>
      </c>
      <c r="U283" s="4" t="str">
        <f aca="false">IF(P283&lt;0.05,"YES","no")</f>
        <v>no</v>
      </c>
      <c r="V283" s="4" t="str">
        <f aca="false">IF(N283&gt;1,"YES","no")</f>
        <v>no</v>
      </c>
    </row>
    <row r="284" customFormat="false" ht="15" hidden="false" customHeight="false" outlineLevel="0" collapsed="false">
      <c r="A284" s="4" t="s">
        <v>361</v>
      </c>
      <c r="B284" s="4"/>
      <c r="C284" s="4" t="s">
        <v>72</v>
      </c>
      <c r="D284" s="8" t="n">
        <v>558.06488</v>
      </c>
      <c r="E284" s="9" t="n">
        <v>8.226</v>
      </c>
      <c r="F284" s="10" t="n">
        <v>213324.222539095</v>
      </c>
      <c r="G284" s="10" t="n">
        <v>189086.014895148</v>
      </c>
      <c r="H284" s="10" t="n">
        <v>249257.076549422</v>
      </c>
      <c r="I284" s="10" t="n">
        <v>286726.649727508</v>
      </c>
      <c r="J284" s="10" t="n">
        <v>231290.649544258</v>
      </c>
      <c r="K284" s="11" t="n">
        <v>1.16844244681938</v>
      </c>
      <c r="L284" s="11" t="n">
        <v>0.224586674015345</v>
      </c>
      <c r="M284" s="11" t="n">
        <v>0.0807733497810705</v>
      </c>
      <c r="N284" s="11" t="n">
        <v>0.0361849910978808</v>
      </c>
      <c r="O284" s="12" t="n">
        <v>0.80373143198594</v>
      </c>
      <c r="P284" s="12" t="n">
        <v>0.919859927862235</v>
      </c>
      <c r="Q284" s="4" t="n">
        <f aca="false">RANK(N284,$N$7:$N$307,0)</f>
        <v>278</v>
      </c>
      <c r="R284" s="4" t="n">
        <f aca="false">RANK(O284,$O$7:$O$307,1)</f>
        <v>263</v>
      </c>
      <c r="S284" s="4" t="n">
        <f aca="false">RANK(J284,$J$7:$J$307,0)</f>
        <v>271</v>
      </c>
      <c r="T284" s="4" t="str">
        <f aca="false">IF(O284&lt;0.05,"YES","no")</f>
        <v>no</v>
      </c>
      <c r="U284" s="4" t="str">
        <f aca="false">IF(P284&lt;0.05,"YES","no")</f>
        <v>no</v>
      </c>
      <c r="V284" s="4" t="str">
        <f aca="false">IF(N284&gt;1,"YES","no")</f>
        <v>no</v>
      </c>
    </row>
    <row r="285" customFormat="false" ht="15" hidden="false" customHeight="false" outlineLevel="0" collapsed="false">
      <c r="A285" s="4" t="s">
        <v>356</v>
      </c>
      <c r="B285" s="4"/>
      <c r="C285" s="4" t="s">
        <v>72</v>
      </c>
      <c r="D285" s="8" t="n">
        <v>130.05101</v>
      </c>
      <c r="E285" s="9" t="n">
        <v>6.887</v>
      </c>
      <c r="F285" s="10" t="n">
        <v>490246.022580541</v>
      </c>
      <c r="G285" s="10" t="n">
        <v>137189.508568765</v>
      </c>
      <c r="H285" s="10" t="n">
        <v>471923.602950167</v>
      </c>
      <c r="I285" s="10" t="n">
        <v>82527.712261039</v>
      </c>
      <c r="J285" s="10" t="n">
        <v>481084.812765354</v>
      </c>
      <c r="K285" s="11" t="n">
        <v>0.962626071836485</v>
      </c>
      <c r="L285" s="11" t="n">
        <v>-0.0549525969950972</v>
      </c>
      <c r="M285" s="11" t="n">
        <v>0.088301738349156</v>
      </c>
      <c r="N285" s="11" t="n">
        <v>0.0344678524823692</v>
      </c>
      <c r="O285" s="12" t="n">
        <v>0.786167484057838</v>
      </c>
      <c r="P285" s="12" t="n">
        <v>0.919859927862235</v>
      </c>
      <c r="Q285" s="4" t="n">
        <f aca="false">RANK(N285,$N$7:$N$307,0)</f>
        <v>279</v>
      </c>
      <c r="R285" s="4" t="n">
        <f aca="false">RANK(O285,$O$7:$O$307,1)</f>
        <v>256</v>
      </c>
      <c r="S285" s="4" t="n">
        <f aca="false">RANK(J285,$J$7:$J$307,0)</f>
        <v>243</v>
      </c>
      <c r="T285" s="4" t="str">
        <f aca="false">IF(O285&lt;0.05,"YES","no")</f>
        <v>no</v>
      </c>
      <c r="U285" s="4" t="str">
        <f aca="false">IF(P285&lt;0.05,"YES","no")</f>
        <v>no</v>
      </c>
      <c r="V285" s="4" t="str">
        <f aca="false">IF(N285&gt;1,"YES","no")</f>
        <v>no</v>
      </c>
    </row>
    <row r="286" customFormat="false" ht="15" hidden="false" customHeight="false" outlineLevel="0" collapsed="false">
      <c r="A286" s="4" t="s">
        <v>261</v>
      </c>
      <c r="B286" s="4"/>
      <c r="C286" s="4" t="s">
        <v>61</v>
      </c>
      <c r="D286" s="8" t="n">
        <v>152.00239</v>
      </c>
      <c r="E286" s="9" t="n">
        <v>9.577</v>
      </c>
      <c r="F286" s="10" t="n">
        <v>71967.0003274529</v>
      </c>
      <c r="G286" s="10" t="n">
        <v>36273.8427757637</v>
      </c>
      <c r="H286" s="10" t="n">
        <v>52271.627062076</v>
      </c>
      <c r="I286" s="10" t="n">
        <v>13986.8781619468</v>
      </c>
      <c r="J286" s="10" t="n">
        <v>62119.3136947645</v>
      </c>
      <c r="K286" s="11" t="n">
        <v>0.726327717207025</v>
      </c>
      <c r="L286" s="11" t="n">
        <v>-0.461307459460864</v>
      </c>
      <c r="M286" s="11" t="n">
        <v>0.365296533620726</v>
      </c>
      <c r="N286" s="11" t="n">
        <v>0.0340716386943918</v>
      </c>
      <c r="O286" s="12" t="n">
        <v>0.257832225973777</v>
      </c>
      <c r="P286" s="12" t="n">
        <v>0.651482536722943</v>
      </c>
      <c r="Q286" s="4" t="n">
        <f aca="false">RANK(N286,$N$7:$N$307,0)</f>
        <v>280</v>
      </c>
      <c r="R286" s="4" t="n">
        <f aca="false">RANK(O286,$O$7:$O$307,1)</f>
        <v>116</v>
      </c>
      <c r="S286" s="4" t="n">
        <f aca="false">RANK(J286,$J$7:$J$307,0)</f>
        <v>296</v>
      </c>
      <c r="T286" s="4" t="str">
        <f aca="false">IF(O286&lt;0.05,"YES","no")</f>
        <v>no</v>
      </c>
      <c r="U286" s="4" t="str">
        <f aca="false">IF(P286&lt;0.05,"YES","no")</f>
        <v>no</v>
      </c>
      <c r="V286" s="4" t="str">
        <f aca="false">IF(N286&gt;1,"YES","no")</f>
        <v>no</v>
      </c>
    </row>
    <row r="287" customFormat="false" ht="15" hidden="false" customHeight="false" outlineLevel="0" collapsed="false">
      <c r="A287" s="4" t="s">
        <v>328</v>
      </c>
      <c r="B287" s="4"/>
      <c r="C287" s="4" t="s">
        <v>72</v>
      </c>
      <c r="D287" s="8" t="n">
        <v>193.03536</v>
      </c>
      <c r="E287" s="9" t="n">
        <v>10.155</v>
      </c>
      <c r="F287" s="10" t="n">
        <v>188319.86550126</v>
      </c>
      <c r="G287" s="10" t="n">
        <v>33191.8949927341</v>
      </c>
      <c r="H287" s="10" t="n">
        <v>168937.257734688</v>
      </c>
      <c r="I287" s="10" t="n">
        <v>60356.2622774926</v>
      </c>
      <c r="J287" s="10" t="n">
        <v>178628.561617974</v>
      </c>
      <c r="K287" s="11" t="n">
        <v>0.897076138436159</v>
      </c>
      <c r="L287" s="11" t="n">
        <v>-0.156697657253792</v>
      </c>
      <c r="M287" s="11" t="n">
        <v>0.21296586864463</v>
      </c>
      <c r="N287" s="11" t="n">
        <v>0.0327186974269585</v>
      </c>
      <c r="O287" s="12" t="n">
        <v>0.510706376659538</v>
      </c>
      <c r="P287" s="12" t="n">
        <v>0.811140046532794</v>
      </c>
      <c r="Q287" s="4" t="n">
        <f aca="false">RANK(N287,$N$7:$N$307,0)</f>
        <v>281</v>
      </c>
      <c r="R287" s="4" t="n">
        <f aca="false">RANK(O287,$O$7:$O$307,1)</f>
        <v>188</v>
      </c>
      <c r="S287" s="4" t="n">
        <f aca="false">RANK(J287,$J$7:$J$307,0)</f>
        <v>278</v>
      </c>
      <c r="T287" s="4" t="str">
        <f aca="false">IF(O287&lt;0.05,"YES","no")</f>
        <v>no</v>
      </c>
      <c r="U287" s="4" t="str">
        <f aca="false">IF(P287&lt;0.05,"YES","no")</f>
        <v>no</v>
      </c>
      <c r="V287" s="4" t="str">
        <f aca="false">IF(N287&gt;1,"YES","no")</f>
        <v>no</v>
      </c>
    </row>
    <row r="288" customFormat="false" ht="15" hidden="false" customHeight="false" outlineLevel="0" collapsed="false">
      <c r="A288" s="4" t="s">
        <v>332</v>
      </c>
      <c r="B288" s="4"/>
      <c r="C288" s="4" t="s">
        <v>72</v>
      </c>
      <c r="D288" s="8" t="n">
        <v>206.1024</v>
      </c>
      <c r="E288" s="9" t="n">
        <v>5.024</v>
      </c>
      <c r="F288" s="10" t="n">
        <v>846027.907136563</v>
      </c>
      <c r="G288" s="10" t="n">
        <v>462862.536550901</v>
      </c>
      <c r="H288" s="10" t="n">
        <v>923248.870334894</v>
      </c>
      <c r="I288" s="10" t="n">
        <v>542182.935679331</v>
      </c>
      <c r="J288" s="10" t="n">
        <v>884638.388735729</v>
      </c>
      <c r="K288" s="11" t="n">
        <v>1.09127472338317</v>
      </c>
      <c r="L288" s="11" t="n">
        <v>0.126014339213933</v>
      </c>
      <c r="M288" s="11" t="n">
        <v>0.0836119542577805</v>
      </c>
      <c r="N288" s="11" t="n">
        <v>0.0323094480910486</v>
      </c>
      <c r="O288" s="12" t="n">
        <v>0.796272578020608</v>
      </c>
      <c r="P288" s="12" t="n">
        <v>0.919859927862235</v>
      </c>
      <c r="Q288" s="4" t="n">
        <f aca="false">RANK(N288,$N$7:$N$307,0)</f>
        <v>282</v>
      </c>
      <c r="R288" s="4" t="n">
        <f aca="false">RANK(O288,$O$7:$O$307,1)</f>
        <v>259</v>
      </c>
      <c r="S288" s="4" t="n">
        <f aca="false">RANK(J288,$J$7:$J$307,0)</f>
        <v>218</v>
      </c>
      <c r="T288" s="4" t="str">
        <f aca="false">IF(O288&lt;0.05,"YES","no")</f>
        <v>no</v>
      </c>
      <c r="U288" s="4" t="str">
        <f aca="false">IF(P288&lt;0.05,"YES","no")</f>
        <v>no</v>
      </c>
      <c r="V288" s="4" t="str">
        <f aca="false">IF(N288&gt;1,"YES","no")</f>
        <v>no</v>
      </c>
    </row>
    <row r="289" customFormat="false" ht="15" hidden="false" customHeight="false" outlineLevel="0" collapsed="false">
      <c r="A289" s="4" t="s">
        <v>335</v>
      </c>
      <c r="B289" s="4"/>
      <c r="C289" s="4" t="s">
        <v>72</v>
      </c>
      <c r="D289" s="8" t="n">
        <v>240.1092</v>
      </c>
      <c r="E289" s="9" t="n">
        <v>9.82</v>
      </c>
      <c r="F289" s="10" t="n">
        <v>166340.286285114</v>
      </c>
      <c r="G289" s="10" t="n">
        <v>37199.1432856072</v>
      </c>
      <c r="H289" s="10" t="n">
        <v>184250.72761381</v>
      </c>
      <c r="I289" s="10" t="n">
        <v>61141.4807281082</v>
      </c>
      <c r="J289" s="10" t="n">
        <v>175295.506949462</v>
      </c>
      <c r="K289" s="11" t="n">
        <v>1.1076735030863</v>
      </c>
      <c r="L289" s="11" t="n">
        <v>0.147532696466119</v>
      </c>
      <c r="M289" s="11" t="n">
        <v>0.190304734294172</v>
      </c>
      <c r="N289" s="11" t="n">
        <v>0.0310492698566949</v>
      </c>
      <c r="O289" s="12" t="n">
        <v>0.556383993337016</v>
      </c>
      <c r="P289" s="12" t="n">
        <v>0.832892828813901</v>
      </c>
      <c r="Q289" s="4" t="n">
        <f aca="false">RANK(N289,$N$7:$N$307,0)</f>
        <v>283</v>
      </c>
      <c r="R289" s="4" t="n">
        <f aca="false">RANK(O289,$O$7:$O$307,1)</f>
        <v>201</v>
      </c>
      <c r="S289" s="4" t="n">
        <f aca="false">RANK(J289,$J$7:$J$307,0)</f>
        <v>279</v>
      </c>
      <c r="T289" s="4" t="str">
        <f aca="false">IF(O289&lt;0.05,"YES","no")</f>
        <v>no</v>
      </c>
      <c r="U289" s="4" t="str">
        <f aca="false">IF(P289&lt;0.05,"YES","no")</f>
        <v>no</v>
      </c>
      <c r="V289" s="4" t="str">
        <f aca="false">IF(N289&gt;1,"YES","no")</f>
        <v>no</v>
      </c>
    </row>
    <row r="290" customFormat="false" ht="15" hidden="false" customHeight="false" outlineLevel="0" collapsed="false">
      <c r="A290" s="4" t="s">
        <v>394</v>
      </c>
      <c r="B290" s="4"/>
      <c r="C290" s="4" t="s">
        <v>72</v>
      </c>
      <c r="D290" s="8" t="n">
        <v>219.02645</v>
      </c>
      <c r="E290" s="9" t="n">
        <v>10.734</v>
      </c>
      <c r="F290" s="10" t="n">
        <v>215994.477156535</v>
      </c>
      <c r="G290" s="10" t="n">
        <v>161194.282877206</v>
      </c>
      <c r="H290" s="10" t="n">
        <v>169500.068775091</v>
      </c>
      <c r="I290" s="10" t="n">
        <v>160844.0981908</v>
      </c>
      <c r="J290" s="10" t="n">
        <v>192747.272965813</v>
      </c>
      <c r="K290" s="11" t="n">
        <v>0.784742605489172</v>
      </c>
      <c r="L290" s="11" t="n">
        <v>-0.349708565312992</v>
      </c>
      <c r="M290" s="11" t="n">
        <v>0.156213569751429</v>
      </c>
      <c r="N290" s="11" t="n">
        <v>0.0309290302134638</v>
      </c>
      <c r="O290" s="12" t="n">
        <v>0.62780490711274</v>
      </c>
      <c r="P290" s="12" t="n">
        <v>0.881168181006632</v>
      </c>
      <c r="Q290" s="4" t="n">
        <f aca="false">RANK(N290,$N$7:$N$307,0)</f>
        <v>284</v>
      </c>
      <c r="R290" s="4" t="n">
        <f aca="false">RANK(O290,$O$7:$O$307,1)</f>
        <v>212</v>
      </c>
      <c r="S290" s="4" t="n">
        <f aca="false">RANK(J290,$J$7:$J$307,0)</f>
        <v>275</v>
      </c>
      <c r="T290" s="4" t="str">
        <f aca="false">IF(O290&lt;0.05,"YES","no")</f>
        <v>no</v>
      </c>
      <c r="U290" s="4" t="str">
        <f aca="false">IF(P290&lt;0.05,"YES","no")</f>
        <v>no</v>
      </c>
      <c r="V290" s="4" t="str">
        <f aca="false">IF(N290&gt;1,"YES","no")</f>
        <v>no</v>
      </c>
    </row>
    <row r="291" customFormat="false" ht="15" hidden="false" customHeight="false" outlineLevel="0" collapsed="false">
      <c r="A291" s="4" t="s">
        <v>272</v>
      </c>
      <c r="B291" s="4"/>
      <c r="C291" s="4" t="s">
        <v>72</v>
      </c>
      <c r="D291" s="8" t="n">
        <v>417.1188</v>
      </c>
      <c r="E291" s="9" t="n">
        <v>6.824</v>
      </c>
      <c r="F291" s="10" t="n">
        <v>247773.517311771</v>
      </c>
      <c r="G291" s="10" t="n">
        <v>112589.514158916</v>
      </c>
      <c r="H291" s="10" t="n">
        <v>224830.163721704</v>
      </c>
      <c r="I291" s="10" t="n">
        <v>64768.8864344909</v>
      </c>
      <c r="J291" s="10" t="n">
        <v>236301.840516738</v>
      </c>
      <c r="K291" s="11" t="n">
        <v>0.907401913493452</v>
      </c>
      <c r="L291" s="11" t="n">
        <v>-0.14018639289696</v>
      </c>
      <c r="M291" s="11" t="n">
        <v>0.135559319193317</v>
      </c>
      <c r="N291" s="11" t="n">
        <v>0.0286676842907642</v>
      </c>
      <c r="O291" s="12" t="n">
        <v>0.676706034754022</v>
      </c>
      <c r="P291" s="12" t="n">
        <v>0.881168181006632</v>
      </c>
      <c r="Q291" s="4" t="n">
        <f aca="false">RANK(N291,$N$7:$N$307,0)</f>
        <v>285</v>
      </c>
      <c r="R291" s="4" t="n">
        <f aca="false">RANK(O291,$O$7:$O$307,1)</f>
        <v>231</v>
      </c>
      <c r="S291" s="4" t="n">
        <f aca="false">RANK(J291,$J$7:$J$307,0)</f>
        <v>269</v>
      </c>
      <c r="T291" s="4" t="str">
        <f aca="false">IF(O291&lt;0.05,"YES","no")</f>
        <v>no</v>
      </c>
      <c r="U291" s="4" t="str">
        <f aca="false">IF(P291&lt;0.05,"YES","no")</f>
        <v>no</v>
      </c>
      <c r="V291" s="4" t="str">
        <f aca="false">IF(N291&gt;1,"YES","no")</f>
        <v>no</v>
      </c>
    </row>
    <row r="292" customFormat="false" ht="15" hidden="false" customHeight="false" outlineLevel="0" collapsed="false">
      <c r="A292" s="4" t="s">
        <v>276</v>
      </c>
      <c r="B292" s="4"/>
      <c r="C292" s="4" t="s">
        <v>72</v>
      </c>
      <c r="D292" s="8" t="n">
        <v>203.05258</v>
      </c>
      <c r="E292" s="9" t="n">
        <v>10.569</v>
      </c>
      <c r="F292" s="10" t="n">
        <v>117745.60392115</v>
      </c>
      <c r="G292" s="10" t="n">
        <v>86178.7635890509</v>
      </c>
      <c r="H292" s="10" t="n">
        <v>103165.195813676</v>
      </c>
      <c r="I292" s="10" t="n">
        <v>107178.364739573</v>
      </c>
      <c r="J292" s="10" t="n">
        <v>110455.399867413</v>
      </c>
      <c r="K292" s="11" t="n">
        <v>0.876170255008095</v>
      </c>
      <c r="L292" s="11" t="n">
        <v>-0.190716857264536</v>
      </c>
      <c r="M292" s="11" t="n">
        <v>0.0818454116569206</v>
      </c>
      <c r="N292" s="11" t="n">
        <v>0.0284593717233429</v>
      </c>
      <c r="O292" s="12" t="n">
        <v>0.800610384956405</v>
      </c>
      <c r="P292" s="12" t="n">
        <v>0.919859927862235</v>
      </c>
      <c r="Q292" s="4" t="n">
        <f aca="false">RANK(N292,$N$7:$N$307,0)</f>
        <v>286</v>
      </c>
      <c r="R292" s="4" t="n">
        <f aca="false">RANK(O292,$O$7:$O$307,1)</f>
        <v>261</v>
      </c>
      <c r="S292" s="4" t="n">
        <f aca="false">RANK(J292,$J$7:$J$307,0)</f>
        <v>287</v>
      </c>
      <c r="T292" s="4" t="str">
        <f aca="false">IF(O292&lt;0.05,"YES","no")</f>
        <v>no</v>
      </c>
      <c r="U292" s="4" t="str">
        <f aca="false">IF(P292&lt;0.05,"YES","no")</f>
        <v>no</v>
      </c>
      <c r="V292" s="4" t="str">
        <f aca="false">IF(N292&gt;1,"YES","no")</f>
        <v>no</v>
      </c>
    </row>
    <row r="293" customFormat="false" ht="15" hidden="false" customHeight="false" outlineLevel="0" collapsed="false">
      <c r="A293" s="4" t="s">
        <v>406</v>
      </c>
      <c r="B293" s="4"/>
      <c r="C293" s="4" t="s">
        <v>72</v>
      </c>
      <c r="D293" s="8" t="n">
        <v>185.0809</v>
      </c>
      <c r="E293" s="9" t="n">
        <v>6.797</v>
      </c>
      <c r="F293" s="10" t="n">
        <v>88575.5350945819</v>
      </c>
      <c r="G293" s="10" t="n">
        <v>34714.4192380298</v>
      </c>
      <c r="H293" s="10" t="n">
        <v>75812.5701312843</v>
      </c>
      <c r="I293" s="10" t="n">
        <v>43304.2432222372</v>
      </c>
      <c r="J293" s="10" t="n">
        <v>82194.0526129331</v>
      </c>
      <c r="K293" s="11" t="n">
        <v>0.855908689124269</v>
      </c>
      <c r="L293" s="11" t="n">
        <v>-0.224471201034561</v>
      </c>
      <c r="M293" s="11" t="n">
        <v>0.175365635115439</v>
      </c>
      <c r="N293" s="11" t="n">
        <v>0.0282911744900629</v>
      </c>
      <c r="O293" s="12" t="n">
        <v>0.586224988737826</v>
      </c>
      <c r="P293" s="12" t="n">
        <v>0.852620474645866</v>
      </c>
      <c r="Q293" s="4" t="n">
        <f aca="false">RANK(N293,$N$7:$N$307,0)</f>
        <v>287</v>
      </c>
      <c r="R293" s="4" t="n">
        <f aca="false">RANK(O293,$O$7:$O$307,1)</f>
        <v>206</v>
      </c>
      <c r="S293" s="4" t="n">
        <f aca="false">RANK(J293,$J$7:$J$307,0)</f>
        <v>290</v>
      </c>
      <c r="T293" s="4" t="str">
        <f aca="false">IF(O293&lt;0.05,"YES","no")</f>
        <v>no</v>
      </c>
      <c r="U293" s="4" t="str">
        <f aca="false">IF(P293&lt;0.05,"YES","no")</f>
        <v>no</v>
      </c>
      <c r="V293" s="4" t="str">
        <f aca="false">IF(N293&gt;1,"YES","no")</f>
        <v>no</v>
      </c>
    </row>
    <row r="294" customFormat="false" ht="15" hidden="false" customHeight="false" outlineLevel="0" collapsed="false">
      <c r="A294" s="4" t="s">
        <v>399</v>
      </c>
      <c r="B294" s="4"/>
      <c r="C294" s="4" t="s">
        <v>72</v>
      </c>
      <c r="D294" s="8" t="n">
        <v>176.06648</v>
      </c>
      <c r="E294" s="9" t="n">
        <v>10.275</v>
      </c>
      <c r="F294" s="10" t="n">
        <v>54003.5940545908</v>
      </c>
      <c r="G294" s="10" t="n">
        <v>15536.3387600717</v>
      </c>
      <c r="H294" s="10" t="n">
        <v>44106.7649775784</v>
      </c>
      <c r="I294" s="10" t="n">
        <v>8833.17462372963</v>
      </c>
      <c r="J294" s="10" t="n">
        <v>49055.1795160846</v>
      </c>
      <c r="K294" s="11" t="n">
        <v>0.816737584779859</v>
      </c>
      <c r="L294" s="11" t="n">
        <v>-0.292055475450731</v>
      </c>
      <c r="M294" s="11" t="n">
        <v>0.394209883507564</v>
      </c>
      <c r="N294" s="11" t="n">
        <v>0.0282077345088816</v>
      </c>
      <c r="O294" s="12" t="n">
        <v>0.2123257993373</v>
      </c>
      <c r="P294" s="12" t="n">
        <v>0.613074564995894</v>
      </c>
      <c r="Q294" s="4" t="n">
        <f aca="false">RANK(N294,$N$7:$N$307,0)</f>
        <v>288</v>
      </c>
      <c r="R294" s="4" t="n">
        <f aca="false">RANK(O294,$O$7:$O$307,1)</f>
        <v>104</v>
      </c>
      <c r="S294" s="4" t="n">
        <f aca="false">RANK(J294,$J$7:$J$307,0)</f>
        <v>299</v>
      </c>
      <c r="T294" s="4" t="str">
        <f aca="false">IF(O294&lt;0.05,"YES","no")</f>
        <v>no</v>
      </c>
      <c r="U294" s="4" t="str">
        <f aca="false">IF(P294&lt;0.05,"YES","no")</f>
        <v>no</v>
      </c>
      <c r="V294" s="4" t="str">
        <f aca="false">IF(N294&gt;1,"YES","no")</f>
        <v>no</v>
      </c>
    </row>
    <row r="295" customFormat="false" ht="15" hidden="false" customHeight="false" outlineLevel="0" collapsed="false">
      <c r="A295" s="4" t="s">
        <v>381</v>
      </c>
      <c r="B295" s="4"/>
      <c r="C295" s="4" t="s">
        <v>72</v>
      </c>
      <c r="D295" s="8" t="n">
        <v>149.02778</v>
      </c>
      <c r="E295" s="9" t="n">
        <v>5.021</v>
      </c>
      <c r="F295" s="10" t="n">
        <v>75512.0926778214</v>
      </c>
      <c r="G295" s="10" t="n">
        <v>39058.6545950816</v>
      </c>
      <c r="H295" s="10" t="n">
        <v>70123.1335126054</v>
      </c>
      <c r="I295" s="10" t="n">
        <v>30756.0117343513</v>
      </c>
      <c r="J295" s="10" t="n">
        <v>72817.6130952134</v>
      </c>
      <c r="K295" s="11" t="n">
        <v>0.928634487879862</v>
      </c>
      <c r="L295" s="11" t="n">
        <v>-0.106817233787526</v>
      </c>
      <c r="M295" s="11" t="n">
        <v>0.0836707603500046</v>
      </c>
      <c r="N295" s="11" t="n">
        <v>0.0240484880470836</v>
      </c>
      <c r="O295" s="12" t="n">
        <v>0.796293032750286</v>
      </c>
      <c r="P295" s="12" t="n">
        <v>0.919859927862235</v>
      </c>
      <c r="Q295" s="4" t="n">
        <f aca="false">RANK(N295,$N$7:$N$307,0)</f>
        <v>289</v>
      </c>
      <c r="R295" s="4" t="n">
        <f aca="false">RANK(O295,$O$7:$O$307,1)</f>
        <v>260</v>
      </c>
      <c r="S295" s="4" t="n">
        <f aca="false">RANK(J295,$J$7:$J$307,0)</f>
        <v>293</v>
      </c>
      <c r="T295" s="4" t="str">
        <f aca="false">IF(O295&lt;0.05,"YES","no")</f>
        <v>no</v>
      </c>
      <c r="U295" s="4" t="str">
        <f aca="false">IF(P295&lt;0.05,"YES","no")</f>
        <v>no</v>
      </c>
      <c r="V295" s="4" t="str">
        <f aca="false">IF(N295&gt;1,"YES","no")</f>
        <v>no</v>
      </c>
    </row>
    <row r="296" customFormat="false" ht="15" hidden="false" customHeight="false" outlineLevel="0" collapsed="false">
      <c r="A296" s="4" t="s">
        <v>413</v>
      </c>
      <c r="B296" s="4"/>
      <c r="C296" s="4" t="s">
        <v>72</v>
      </c>
      <c r="D296" s="8" t="n">
        <v>227.0674</v>
      </c>
      <c r="E296" s="9" t="n">
        <v>7.495</v>
      </c>
      <c r="F296" s="10" t="n">
        <v>126510.379274129</v>
      </c>
      <c r="G296" s="10" t="n">
        <v>107992.167786118</v>
      </c>
      <c r="H296" s="10" t="n">
        <v>118083.07227824</v>
      </c>
      <c r="I296" s="10" t="n">
        <v>96243.146165379</v>
      </c>
      <c r="J296" s="10" t="n">
        <v>122296.725776185</v>
      </c>
      <c r="K296" s="11" t="n">
        <v>0.933386437980488</v>
      </c>
      <c r="L296" s="11" t="n">
        <v>-0.0994535896599135</v>
      </c>
      <c r="M296" s="11" t="n">
        <v>0.0450805726639493</v>
      </c>
      <c r="N296" s="11" t="n">
        <v>0.0194685459687403</v>
      </c>
      <c r="O296" s="12" t="n">
        <v>0.889396267321844</v>
      </c>
      <c r="P296" s="12" t="n">
        <v>0.939393851378877</v>
      </c>
      <c r="Q296" s="4" t="n">
        <f aca="false">RANK(N296,$N$7:$N$307,0)</f>
        <v>290</v>
      </c>
      <c r="R296" s="4" t="n">
        <f aca="false">RANK(O296,$O$7:$O$307,1)</f>
        <v>284</v>
      </c>
      <c r="S296" s="4" t="n">
        <f aca="false">RANK(J296,$J$7:$J$307,0)</f>
        <v>285</v>
      </c>
      <c r="T296" s="4" t="str">
        <f aca="false">IF(O296&lt;0.05,"YES","no")</f>
        <v>no</v>
      </c>
      <c r="U296" s="4" t="str">
        <f aca="false">IF(P296&lt;0.05,"YES","no")</f>
        <v>no</v>
      </c>
      <c r="V296" s="4" t="str">
        <f aca="false">IF(N296&gt;1,"YES","no")</f>
        <v>no</v>
      </c>
    </row>
    <row r="297" customFormat="false" ht="15" hidden="false" customHeight="false" outlineLevel="0" collapsed="false">
      <c r="A297" s="4" t="s">
        <v>344</v>
      </c>
      <c r="B297" s="4"/>
      <c r="C297" s="4" t="s">
        <v>72</v>
      </c>
      <c r="D297" s="8" t="n">
        <v>206.08088</v>
      </c>
      <c r="E297" s="9" t="n">
        <v>6.826</v>
      </c>
      <c r="F297" s="10" t="n">
        <v>145834.967269456</v>
      </c>
      <c r="G297" s="10" t="n">
        <v>72732.2960925354</v>
      </c>
      <c r="H297" s="10" t="n">
        <v>143400.823755884</v>
      </c>
      <c r="I297" s="10" t="n">
        <v>71070.3710645297</v>
      </c>
      <c r="J297" s="10" t="n">
        <v>144617.89551267</v>
      </c>
      <c r="K297" s="11" t="n">
        <v>0.983308917201771</v>
      </c>
      <c r="L297" s="11" t="n">
        <v>-0.0242833687577772</v>
      </c>
      <c r="M297" s="11" t="n">
        <v>0.0185381427729039</v>
      </c>
      <c r="N297" s="11" t="n">
        <v>0.0192788383279438</v>
      </c>
      <c r="O297" s="12" t="n">
        <v>0.954400294512967</v>
      </c>
      <c r="P297" s="12" t="n">
        <v>0.97712411104899</v>
      </c>
      <c r="Q297" s="4" t="n">
        <f aca="false">RANK(N297,$N$7:$N$307,0)</f>
        <v>291</v>
      </c>
      <c r="R297" s="4" t="n">
        <f aca="false">RANK(O297,$O$7:$O$307,1)</f>
        <v>294</v>
      </c>
      <c r="S297" s="4" t="n">
        <f aca="false">RANK(J297,$J$7:$J$307,0)</f>
        <v>283</v>
      </c>
      <c r="T297" s="4" t="str">
        <f aca="false">IF(O297&lt;0.05,"YES","no")</f>
        <v>no</v>
      </c>
      <c r="U297" s="4" t="str">
        <f aca="false">IF(P297&lt;0.05,"YES","no")</f>
        <v>no</v>
      </c>
      <c r="V297" s="4" t="str">
        <f aca="false">IF(N297&gt;1,"YES","no")</f>
        <v>no</v>
      </c>
    </row>
    <row r="298" customFormat="false" ht="15" hidden="false" customHeight="false" outlineLevel="0" collapsed="false">
      <c r="A298" s="4" t="s">
        <v>386</v>
      </c>
      <c r="B298" s="4"/>
      <c r="C298" s="4" t="s">
        <v>72</v>
      </c>
      <c r="D298" s="8" t="n">
        <v>203.12759</v>
      </c>
      <c r="E298" s="9" t="n">
        <v>5.019</v>
      </c>
      <c r="F298" s="10" t="n">
        <v>64771.9888458562</v>
      </c>
      <c r="G298" s="10" t="n">
        <v>23135.6828915835</v>
      </c>
      <c r="H298" s="10" t="n">
        <v>60443.9111643363</v>
      </c>
      <c r="I298" s="10" t="n">
        <v>26268.174687273</v>
      </c>
      <c r="J298" s="10" t="n">
        <v>62607.9500050963</v>
      </c>
      <c r="K298" s="11" t="n">
        <v>0.933179793323625</v>
      </c>
      <c r="L298" s="11" t="n">
        <v>-0.0997730267287952</v>
      </c>
      <c r="M298" s="11" t="n">
        <v>0.0953390391650596</v>
      </c>
      <c r="N298" s="11" t="n">
        <v>0.0192721768328774</v>
      </c>
      <c r="O298" s="12" t="n">
        <v>0.768294273995448</v>
      </c>
      <c r="P298" s="12" t="n">
        <v>0.910458962490668</v>
      </c>
      <c r="Q298" s="4" t="n">
        <f aca="false">RANK(N298,$N$7:$N$307,0)</f>
        <v>292</v>
      </c>
      <c r="R298" s="4" t="n">
        <f aca="false">RANK(O298,$O$7:$O$307,1)</f>
        <v>254</v>
      </c>
      <c r="S298" s="4" t="n">
        <f aca="false">RANK(J298,$J$7:$J$307,0)</f>
        <v>295</v>
      </c>
      <c r="T298" s="4" t="str">
        <f aca="false">IF(O298&lt;0.05,"YES","no")</f>
        <v>no</v>
      </c>
      <c r="U298" s="4" t="str">
        <f aca="false">IF(P298&lt;0.05,"YES","no")</f>
        <v>no</v>
      </c>
      <c r="V298" s="4" t="str">
        <f aca="false">IF(N298&gt;1,"YES","no")</f>
        <v>no</v>
      </c>
    </row>
    <row r="299" customFormat="false" ht="15" hidden="false" customHeight="false" outlineLevel="0" collapsed="false">
      <c r="A299" s="4" t="s">
        <v>405</v>
      </c>
      <c r="B299" s="4"/>
      <c r="C299" s="4" t="s">
        <v>72</v>
      </c>
      <c r="D299" s="8" t="n">
        <v>202.05104</v>
      </c>
      <c r="E299" s="9" t="n">
        <v>5.016</v>
      </c>
      <c r="F299" s="10" t="n">
        <v>58843.7882676597</v>
      </c>
      <c r="G299" s="10" t="n">
        <v>10436.4110302068</v>
      </c>
      <c r="H299" s="10" t="n">
        <v>69526.9325984139</v>
      </c>
      <c r="I299" s="10" t="n">
        <v>32073.5757370819</v>
      </c>
      <c r="J299" s="10" t="n">
        <v>64185.3604330368</v>
      </c>
      <c r="K299" s="11" t="n">
        <v>1.18155092738354</v>
      </c>
      <c r="L299" s="11" t="n">
        <v>0.240681813907815</v>
      </c>
      <c r="M299" s="11" t="n">
        <v>0.23827646013859</v>
      </c>
      <c r="N299" s="11" t="n">
        <v>0.019012084773226</v>
      </c>
      <c r="O299" s="12" t="n">
        <v>0.467091291955606</v>
      </c>
      <c r="P299" s="12" t="n">
        <v>0.785761728112644</v>
      </c>
      <c r="Q299" s="4" t="n">
        <f aca="false">RANK(N299,$N$7:$N$307,0)</f>
        <v>293</v>
      </c>
      <c r="R299" s="4" t="n">
        <f aca="false">RANK(O299,$O$7:$O$307,1)</f>
        <v>177</v>
      </c>
      <c r="S299" s="4" t="n">
        <f aca="false">RANK(J299,$J$7:$J$307,0)</f>
        <v>294</v>
      </c>
      <c r="T299" s="4" t="str">
        <f aca="false">IF(O299&lt;0.05,"YES","no")</f>
        <v>no</v>
      </c>
      <c r="U299" s="4" t="str">
        <f aca="false">IF(P299&lt;0.05,"YES","no")</f>
        <v>no</v>
      </c>
      <c r="V299" s="4" t="str">
        <f aca="false">IF(N299&gt;1,"YES","no")</f>
        <v>no</v>
      </c>
    </row>
    <row r="300" customFormat="false" ht="15" hidden="false" customHeight="false" outlineLevel="0" collapsed="false">
      <c r="A300" s="4" t="s">
        <v>230</v>
      </c>
      <c r="B300" s="4"/>
      <c r="C300" s="4" t="s">
        <v>61</v>
      </c>
      <c r="D300" s="8" t="n">
        <v>175.02481</v>
      </c>
      <c r="E300" s="9" t="n">
        <v>10.321</v>
      </c>
      <c r="F300" s="10" t="n">
        <v>272322.360358902</v>
      </c>
      <c r="G300" s="10" t="n">
        <v>141614.552883206</v>
      </c>
      <c r="H300" s="10" t="n">
        <v>296546.269039727</v>
      </c>
      <c r="I300" s="10" t="n">
        <v>96233.6226611454</v>
      </c>
      <c r="J300" s="10" t="n">
        <v>284434.314699315</v>
      </c>
      <c r="K300" s="11" t="n">
        <v>1.08895306521616</v>
      </c>
      <c r="L300" s="11" t="n">
        <v>0.122941774037279</v>
      </c>
      <c r="M300" s="11" t="n">
        <v>0.108937680313811</v>
      </c>
      <c r="N300" s="11" t="n">
        <v>0.0183105511653227</v>
      </c>
      <c r="O300" s="12" t="n">
        <v>0.737063131054574</v>
      </c>
      <c r="P300" s="12" t="n">
        <v>0.907830327241279</v>
      </c>
      <c r="Q300" s="4" t="n">
        <f aca="false">RANK(N300,$N$7:$N$307,0)</f>
        <v>294</v>
      </c>
      <c r="R300" s="4" t="n">
        <f aca="false">RANK(O300,$O$7:$O$307,1)</f>
        <v>243</v>
      </c>
      <c r="S300" s="4" t="n">
        <f aca="false">RANK(J300,$J$7:$J$307,0)</f>
        <v>263</v>
      </c>
      <c r="T300" s="4" t="str">
        <f aca="false">IF(O300&lt;0.05,"YES","no")</f>
        <v>no</v>
      </c>
      <c r="U300" s="4" t="str">
        <f aca="false">IF(P300&lt;0.05,"YES","no")</f>
        <v>no</v>
      </c>
      <c r="V300" s="4" t="str">
        <f aca="false">IF(N300&gt;1,"YES","no")</f>
        <v>no</v>
      </c>
    </row>
    <row r="301" customFormat="false" ht="15" hidden="false" customHeight="false" outlineLevel="0" collapsed="false">
      <c r="A301" s="4" t="s">
        <v>307</v>
      </c>
      <c r="B301" s="4"/>
      <c r="C301" s="4" t="s">
        <v>72</v>
      </c>
      <c r="D301" s="8" t="n">
        <v>121.05075</v>
      </c>
      <c r="E301" s="9" t="n">
        <v>7.788</v>
      </c>
      <c r="F301" s="10" t="n">
        <v>45880.0990736574</v>
      </c>
      <c r="G301" s="10" t="n">
        <v>26436.9152071959</v>
      </c>
      <c r="H301" s="10" t="n">
        <v>46526.0500031138</v>
      </c>
      <c r="I301" s="10" t="n">
        <v>29630.3453809007</v>
      </c>
      <c r="J301" s="10" t="n">
        <v>46203.0745383856</v>
      </c>
      <c r="K301" s="11" t="n">
        <v>1.0140791092979</v>
      </c>
      <c r="L301" s="11" t="n">
        <v>0.0201702027751114</v>
      </c>
      <c r="M301" s="11" t="n">
        <v>0.0125992017484939</v>
      </c>
      <c r="N301" s="11" t="n">
        <v>0.0171990744759081</v>
      </c>
      <c r="O301" s="12" t="n">
        <v>0.969010664435195</v>
      </c>
      <c r="P301" s="12" t="n">
        <v>0.988719355915233</v>
      </c>
      <c r="Q301" s="4" t="n">
        <f aca="false">RANK(N301,$N$7:$N$307,0)</f>
        <v>295</v>
      </c>
      <c r="R301" s="4" t="n">
        <f aca="false">RANK(O301,$O$7:$O$307,1)</f>
        <v>295</v>
      </c>
      <c r="S301" s="4" t="n">
        <f aca="false">RANK(J301,$J$7:$J$307,0)</f>
        <v>300</v>
      </c>
      <c r="T301" s="4" t="str">
        <f aca="false">IF(O301&lt;0.05,"YES","no")</f>
        <v>no</v>
      </c>
      <c r="U301" s="4" t="str">
        <f aca="false">IF(P301&lt;0.05,"YES","no")</f>
        <v>no</v>
      </c>
      <c r="V301" s="4" t="str">
        <f aca="false">IF(N301&gt;1,"YES","no")</f>
        <v>no</v>
      </c>
    </row>
    <row r="302" customFormat="false" ht="15" hidden="false" customHeight="false" outlineLevel="0" collapsed="false">
      <c r="A302" s="4" t="s">
        <v>331</v>
      </c>
      <c r="B302" s="4"/>
      <c r="C302" s="4" t="s">
        <v>72</v>
      </c>
      <c r="D302" s="8" t="n">
        <v>251.07857</v>
      </c>
      <c r="E302" s="9" t="n">
        <v>8.282</v>
      </c>
      <c r="F302" s="10" t="n">
        <v>56533.1518498931</v>
      </c>
      <c r="G302" s="10" t="n">
        <v>25510.1238808827</v>
      </c>
      <c r="H302" s="10" t="n">
        <v>62766.51365568</v>
      </c>
      <c r="I302" s="10" t="n">
        <v>49593.8110775254</v>
      </c>
      <c r="J302" s="10" t="n">
        <v>59649.8327527865</v>
      </c>
      <c r="K302" s="11" t="n">
        <v>1.11026029156021</v>
      </c>
      <c r="L302" s="11" t="n">
        <v>0.150897944431857</v>
      </c>
      <c r="M302" s="11" t="n">
        <v>0.0862530421407793</v>
      </c>
      <c r="N302" s="11" t="n">
        <v>0.0160574503073827</v>
      </c>
      <c r="O302" s="12" t="n">
        <v>0.791670482411313</v>
      </c>
      <c r="P302" s="12" t="n">
        <v>0.919859927862235</v>
      </c>
      <c r="Q302" s="4" t="n">
        <f aca="false">RANK(N302,$N$7:$N$307,0)</f>
        <v>296</v>
      </c>
      <c r="R302" s="4" t="n">
        <f aca="false">RANK(O302,$O$7:$O$307,1)</f>
        <v>258</v>
      </c>
      <c r="S302" s="4" t="n">
        <f aca="false">RANK(J302,$J$7:$J$307,0)</f>
        <v>297</v>
      </c>
      <c r="T302" s="4" t="str">
        <f aca="false">IF(O302&lt;0.05,"YES","no")</f>
        <v>no</v>
      </c>
      <c r="U302" s="4" t="str">
        <f aca="false">IF(P302&lt;0.05,"YES","no")</f>
        <v>no</v>
      </c>
      <c r="V302" s="4" t="str">
        <f aca="false">IF(N302&gt;1,"YES","no")</f>
        <v>no</v>
      </c>
    </row>
    <row r="303" customFormat="false" ht="15" hidden="false" customHeight="false" outlineLevel="0" collapsed="false">
      <c r="A303" s="4" t="s">
        <v>195</v>
      </c>
      <c r="B303" s="4" t="s">
        <v>196</v>
      </c>
      <c r="C303" s="4" t="s">
        <v>72</v>
      </c>
      <c r="D303" s="8" t="n">
        <v>285.07264</v>
      </c>
      <c r="E303" s="9" t="n">
        <v>9.709</v>
      </c>
      <c r="F303" s="10" t="n">
        <v>1408390.06698402</v>
      </c>
      <c r="G303" s="10" t="n">
        <v>737309.284532401</v>
      </c>
      <c r="H303" s="10" t="n">
        <v>1443109.1482685</v>
      </c>
      <c r="I303" s="10" t="n">
        <v>665255.578655332</v>
      </c>
      <c r="J303" s="10" t="n">
        <v>1425749.60762626</v>
      </c>
      <c r="K303" s="11" t="n">
        <v>1.02465160902393</v>
      </c>
      <c r="L303" s="11" t="n">
        <v>0.035133463514308</v>
      </c>
      <c r="M303" s="11" t="n">
        <v>0.0270710042911917</v>
      </c>
      <c r="N303" s="11" t="n">
        <v>0.0149023653653504</v>
      </c>
      <c r="O303" s="12" t="n">
        <v>0.933462472043597</v>
      </c>
      <c r="P303" s="12" t="n">
        <v>0.962233575633982</v>
      </c>
      <c r="Q303" s="4" t="n">
        <f aca="false">RANK(N303,$N$7:$N$307,0)</f>
        <v>297</v>
      </c>
      <c r="R303" s="4" t="n">
        <f aca="false">RANK(O303,$O$7:$O$307,1)</f>
        <v>292</v>
      </c>
      <c r="S303" s="4" t="n">
        <f aca="false">RANK(J303,$J$7:$J$307,0)</f>
        <v>198</v>
      </c>
      <c r="T303" s="4" t="str">
        <f aca="false">IF(O303&lt;0.05,"YES","no")</f>
        <v>no</v>
      </c>
      <c r="U303" s="4" t="str">
        <f aca="false">IF(P303&lt;0.05,"YES","no")</f>
        <v>no</v>
      </c>
      <c r="V303" s="4" t="str">
        <f aca="false">IF(N303&gt;1,"YES","no")</f>
        <v>no</v>
      </c>
    </row>
    <row r="304" customFormat="false" ht="15" hidden="false" customHeight="false" outlineLevel="0" collapsed="false">
      <c r="A304" s="4" t="s">
        <v>322</v>
      </c>
      <c r="B304" s="4"/>
      <c r="C304" s="4" t="s">
        <v>72</v>
      </c>
      <c r="D304" s="8" t="n">
        <v>204.06655</v>
      </c>
      <c r="E304" s="9" t="n">
        <v>5.008</v>
      </c>
      <c r="F304" s="10" t="n">
        <v>91107.5632431515</v>
      </c>
      <c r="G304" s="10" t="n">
        <v>80130.4736812582</v>
      </c>
      <c r="H304" s="10" t="n">
        <v>97045.5457297022</v>
      </c>
      <c r="I304" s="10" t="n">
        <v>46262.7777418061</v>
      </c>
      <c r="J304" s="10" t="n">
        <v>94076.5544864268</v>
      </c>
      <c r="K304" s="11" t="n">
        <v>1.06517551644646</v>
      </c>
      <c r="L304" s="11" t="n">
        <v>0.0910911730272698</v>
      </c>
      <c r="M304" s="11" t="n">
        <v>0.0496492695995256</v>
      </c>
      <c r="N304" s="11" t="n">
        <v>0.0141038925896641</v>
      </c>
      <c r="O304" s="12" t="n">
        <v>0.878983359497685</v>
      </c>
      <c r="P304" s="12" t="n">
        <v>0.938205642584409</v>
      </c>
      <c r="Q304" s="4" t="n">
        <f aca="false">RANK(N304,$N$7:$N$307,0)</f>
        <v>298</v>
      </c>
      <c r="R304" s="4" t="n">
        <f aca="false">RANK(O304,$O$7:$O$307,1)</f>
        <v>282</v>
      </c>
      <c r="S304" s="4" t="n">
        <f aca="false">RANK(J304,$J$7:$J$307,0)</f>
        <v>288</v>
      </c>
      <c r="T304" s="4" t="str">
        <f aca="false">IF(O304&lt;0.05,"YES","no")</f>
        <v>no</v>
      </c>
      <c r="U304" s="4" t="str">
        <f aca="false">IF(P304&lt;0.05,"YES","no")</f>
        <v>no</v>
      </c>
      <c r="V304" s="4" t="str">
        <f aca="false">IF(N304&gt;1,"YES","no")</f>
        <v>no</v>
      </c>
    </row>
    <row r="305" customFormat="false" ht="15" hidden="false" customHeight="false" outlineLevel="0" collapsed="false">
      <c r="A305" s="4" t="s">
        <v>373</v>
      </c>
      <c r="B305" s="4"/>
      <c r="C305" s="4" t="s">
        <v>72</v>
      </c>
      <c r="D305" s="8" t="n">
        <v>165.05566</v>
      </c>
      <c r="E305" s="9" t="n">
        <v>4.894</v>
      </c>
      <c r="F305" s="10" t="n">
        <v>185672.598902397</v>
      </c>
      <c r="G305" s="10" t="n">
        <v>96152.383004376</v>
      </c>
      <c r="H305" s="10" t="n">
        <v>193161.584536982</v>
      </c>
      <c r="I305" s="10" t="n">
        <v>47166.2601345088</v>
      </c>
      <c r="J305" s="10" t="n">
        <v>189417.091719689</v>
      </c>
      <c r="K305" s="11" t="n">
        <v>1.04033436101426</v>
      </c>
      <c r="L305" s="11" t="n">
        <v>0.0570472816844212</v>
      </c>
      <c r="M305" s="11" t="n">
        <v>0.0540856392399315</v>
      </c>
      <c r="N305" s="11" t="n">
        <v>0.0137978192926264</v>
      </c>
      <c r="O305" s="12" t="n">
        <v>0.868667617431802</v>
      </c>
      <c r="P305" s="12" t="n">
        <v>0.93049449411734</v>
      </c>
      <c r="Q305" s="4" t="n">
        <f aca="false">RANK(N305,$N$7:$N$307,0)</f>
        <v>299</v>
      </c>
      <c r="R305" s="4" t="n">
        <f aca="false">RANK(O305,$O$7:$O$307,1)</f>
        <v>281</v>
      </c>
      <c r="S305" s="4" t="n">
        <f aca="false">RANK(J305,$J$7:$J$307,0)</f>
        <v>276</v>
      </c>
      <c r="T305" s="4" t="str">
        <f aca="false">IF(O305&lt;0.05,"YES","no")</f>
        <v>no</v>
      </c>
      <c r="U305" s="4" t="str">
        <f aca="false">IF(P305&lt;0.05,"YES","no")</f>
        <v>no</v>
      </c>
      <c r="V305" s="4" t="str">
        <f aca="false">IF(N305&gt;1,"YES","no")</f>
        <v>no</v>
      </c>
    </row>
    <row r="306" customFormat="false" ht="15" hidden="false" customHeight="false" outlineLevel="0" collapsed="false">
      <c r="A306" s="4" t="s">
        <v>383</v>
      </c>
      <c r="B306" s="4"/>
      <c r="C306" s="4" t="s">
        <v>72</v>
      </c>
      <c r="D306" s="8" t="n">
        <v>167.03515</v>
      </c>
      <c r="E306" s="9" t="n">
        <v>6.887</v>
      </c>
      <c r="F306" s="10" t="n">
        <v>48850.1679791706</v>
      </c>
      <c r="G306" s="10" t="n">
        <v>36104.9635233998</v>
      </c>
      <c r="H306" s="10" t="n">
        <v>43094.8968271383</v>
      </c>
      <c r="I306" s="10" t="n">
        <v>6523.00577157007</v>
      </c>
      <c r="J306" s="10" t="n">
        <v>45972.5324031545</v>
      </c>
      <c r="K306" s="11" t="n">
        <v>0.882185233129878</v>
      </c>
      <c r="L306" s="11" t="n">
        <v>-0.180846483480807</v>
      </c>
      <c r="M306" s="11" t="n">
        <v>0.120619453242021</v>
      </c>
      <c r="N306" s="11" t="n">
        <v>0.0136904831002623</v>
      </c>
      <c r="O306" s="12" t="n">
        <v>0.715668368592316</v>
      </c>
      <c r="P306" s="12" t="n">
        <v>0.89567378165876</v>
      </c>
      <c r="Q306" s="4" t="n">
        <f aca="false">RANK(N306,$N$7:$N$307,0)</f>
        <v>300</v>
      </c>
      <c r="R306" s="4" t="n">
        <f aca="false">RANK(O306,$O$7:$O$307,1)</f>
        <v>240</v>
      </c>
      <c r="S306" s="4" t="n">
        <f aca="false">RANK(J306,$J$7:$J$307,0)</f>
        <v>301</v>
      </c>
      <c r="T306" s="4" t="str">
        <f aca="false">IF(O306&lt;0.05,"YES","no")</f>
        <v>no</v>
      </c>
      <c r="U306" s="4" t="str">
        <f aca="false">IF(P306&lt;0.05,"YES","no")</f>
        <v>no</v>
      </c>
      <c r="V306" s="4" t="str">
        <f aca="false">IF(N306&gt;1,"YES","no")</f>
        <v>no</v>
      </c>
    </row>
    <row r="307" customFormat="false" ht="15" hidden="false" customHeight="false" outlineLevel="0" collapsed="false">
      <c r="A307" s="4" t="s">
        <v>382</v>
      </c>
      <c r="B307" s="4"/>
      <c r="C307" s="4" t="s">
        <v>72</v>
      </c>
      <c r="D307" s="8" t="n">
        <v>416.21393</v>
      </c>
      <c r="E307" s="9" t="n">
        <v>5.02</v>
      </c>
      <c r="F307" s="10" t="n">
        <v>259557.159246047</v>
      </c>
      <c r="G307" s="10" t="n">
        <v>59592.6440699973</v>
      </c>
      <c r="H307" s="10" t="n">
        <v>255039.974794596</v>
      </c>
      <c r="I307" s="10" t="n">
        <v>122946.33716424</v>
      </c>
      <c r="J307" s="10" t="n">
        <v>257298.567020322</v>
      </c>
      <c r="K307" s="11" t="n">
        <v>0.982596571542958</v>
      </c>
      <c r="L307" s="11" t="n">
        <v>-0.0253288896134134</v>
      </c>
      <c r="M307" s="11" t="n">
        <v>0.0256013475523505</v>
      </c>
      <c r="N307" s="11" t="n">
        <v>0.00398645374305079</v>
      </c>
      <c r="O307" s="12" t="n">
        <v>0.937651247073965</v>
      </c>
      <c r="P307" s="12" t="n">
        <v>0.96325264631148</v>
      </c>
      <c r="Q307" s="4" t="n">
        <f aca="false">RANK(N307,$N$7:$N$307,0)</f>
        <v>301</v>
      </c>
      <c r="R307" s="4" t="n">
        <f aca="false">RANK(O307,$O$7:$O$307,1)</f>
        <v>293</v>
      </c>
      <c r="S307" s="4" t="n">
        <f aca="false">RANK(J307,$J$7:$J$307,0)</f>
        <v>266</v>
      </c>
      <c r="T307" s="4" t="str">
        <f aca="false">IF(O307&lt;0.05,"YES","no")</f>
        <v>no</v>
      </c>
      <c r="U307" s="4" t="str">
        <f aca="false">IF(P307&lt;0.05,"YES","no")</f>
        <v>no</v>
      </c>
      <c r="V307" s="4" t="str">
        <f aca="false">IF(N307&gt;1,"YES","no")</f>
        <v>no</v>
      </c>
    </row>
  </sheetData>
  <autoFilter ref="A6:V307"/>
  <conditionalFormatting sqref="O7:O307">
    <cfRule type="cellIs" priority="2" operator="lessThan" aboveAverage="0" equalAverage="0" bottom="0" percent="0" rank="0" text="" dxfId="5">
      <formula>0.05</formula>
    </cfRule>
  </conditionalFormatting>
  <conditionalFormatting sqref="P7:P307">
    <cfRule type="cellIs" priority="3" operator="lessThan" aboveAverage="0" equalAverage="0" bottom="0" percent="0" rank="0" text="" dxfId="6">
      <formula>0.05</formula>
    </cfRule>
  </conditionalFormatting>
  <conditionalFormatting sqref="N7:N307">
    <cfRule type="cellIs" priority="4" operator="greater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3" min="11" style="0" width="11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9" min="17" style="0" width="11"/>
    <col collapsed="false" customWidth="true" hidden="false" outlineLevel="0" max="21" min="20" style="0" width="12"/>
    <col collapsed="false" customWidth="true" hidden="false" outlineLevel="0" max="22" min="22" style="0" width="9"/>
  </cols>
  <sheetData>
    <row r="1" customFormat="false" ht="15" hidden="false" customHeight="false" outlineLevel="0" collapsed="false">
      <c r="A1" s="6" t="s">
        <v>420</v>
      </c>
    </row>
    <row r="2" customFormat="false" ht="15" hidden="false" customHeight="false" outlineLevel="0" collapsed="false">
      <c r="A2" s="2" t="s">
        <v>421</v>
      </c>
    </row>
    <row r="3" customFormat="false" ht="15" hidden="false" customHeight="false" outlineLevel="0" collapsed="false">
      <c r="A3" s="2" t="s">
        <v>36</v>
      </c>
    </row>
    <row r="4" customFormat="false" ht="15" hidden="false" customHeight="false" outlineLevel="0" collapsed="false">
      <c r="A4" s="2" t="s">
        <v>37</v>
      </c>
    </row>
    <row r="6" customFormat="false" ht="35.0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7" t="s">
        <v>42</v>
      </c>
      <c r="F6" s="7" t="s">
        <v>43</v>
      </c>
      <c r="G6" s="7" t="s">
        <v>44</v>
      </c>
      <c r="H6" s="7" t="s">
        <v>417</v>
      </c>
      <c r="I6" s="7" t="s">
        <v>418</v>
      </c>
      <c r="J6" s="7" t="s">
        <v>47</v>
      </c>
      <c r="K6" s="7" t="s">
        <v>48</v>
      </c>
      <c r="L6" s="7" t="s">
        <v>49</v>
      </c>
      <c r="M6" s="7" t="s">
        <v>50</v>
      </c>
      <c r="N6" s="7" t="s">
        <v>51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58</v>
      </c>
      <c r="V6" s="7" t="s">
        <v>10</v>
      </c>
    </row>
    <row r="7" customFormat="false" ht="15" hidden="false" customHeight="false" outlineLevel="0" collapsed="false">
      <c r="A7" s="4" t="s">
        <v>62</v>
      </c>
      <c r="B7" s="4" t="s">
        <v>63</v>
      </c>
      <c r="C7" s="4" t="s">
        <v>61</v>
      </c>
      <c r="D7" s="8" t="n">
        <v>162.11233</v>
      </c>
      <c r="E7" s="9" t="n">
        <v>11.266</v>
      </c>
      <c r="F7" s="10" t="n">
        <v>1040434822.25981</v>
      </c>
      <c r="G7" s="10" t="n">
        <v>385125852.09194</v>
      </c>
      <c r="H7" s="10" t="n">
        <v>2026943055.6208</v>
      </c>
      <c r="I7" s="10" t="n">
        <v>339608311.191341</v>
      </c>
      <c r="J7" s="10" t="n">
        <v>1533688938.94031</v>
      </c>
      <c r="K7" s="11" t="n">
        <v>1.94816918105289</v>
      </c>
      <c r="L7" s="11" t="n">
        <v>0.962118968009459</v>
      </c>
      <c r="M7" s="11" t="n">
        <v>0.830017626763504</v>
      </c>
      <c r="N7" s="11" t="n">
        <v>8.60660899452169</v>
      </c>
      <c r="O7" s="12" t="n">
        <v>0.000869839138508706</v>
      </c>
      <c r="P7" s="12" t="n">
        <v>0.0201401215916247</v>
      </c>
      <c r="Q7" s="4" t="n">
        <f aca="false">RANK(N7,$N$7:$N$307,0)</f>
        <v>1</v>
      </c>
      <c r="R7" s="4" t="n">
        <f aca="false">RANK(O7,$O$7:$O$307,1)</f>
        <v>13</v>
      </c>
      <c r="S7" s="4" t="n">
        <f aca="false">RANK(J7,$J$7:$J$307,0)</f>
        <v>1</v>
      </c>
      <c r="T7" s="4" t="str">
        <f aca="false">IF(O7&lt;0.05,"YES","no")</f>
        <v>YES</v>
      </c>
      <c r="U7" s="4" t="str">
        <f aca="false">IF(P7&lt;0.05,"YES","no")</f>
        <v>YES</v>
      </c>
      <c r="V7" s="4" t="str">
        <f aca="false">IF(N7&gt;1,"YES","no")</f>
        <v>YES</v>
      </c>
    </row>
    <row r="8" customFormat="false" ht="15" hidden="false" customHeight="false" outlineLevel="0" collapsed="false">
      <c r="A8" s="4" t="s">
        <v>59</v>
      </c>
      <c r="B8" s="4" t="s">
        <v>60</v>
      </c>
      <c r="C8" s="4" t="s">
        <v>61</v>
      </c>
      <c r="D8" s="8" t="n">
        <v>132.07663</v>
      </c>
      <c r="E8" s="9" t="n">
        <v>11.358</v>
      </c>
      <c r="F8" s="10" t="n">
        <v>1282401091.33946</v>
      </c>
      <c r="G8" s="10" t="n">
        <v>825819311.773691</v>
      </c>
      <c r="H8" s="10" t="n">
        <v>1407834279.91379</v>
      </c>
      <c r="I8" s="10" t="n">
        <v>131478608.677848</v>
      </c>
      <c r="J8" s="10" t="n">
        <v>1345117685.62662</v>
      </c>
      <c r="K8" s="11" t="n">
        <v>1.09781119918053</v>
      </c>
      <c r="L8" s="11" t="n">
        <v>0.134629961969105</v>
      </c>
      <c r="M8" s="11" t="n">
        <v>0.115413222857819</v>
      </c>
      <c r="N8" s="11" t="n">
        <v>5.59148588176868</v>
      </c>
      <c r="O8" s="12" t="n">
        <v>0.727643385144609</v>
      </c>
      <c r="P8" s="12" t="n">
        <v>0.811187625661212</v>
      </c>
      <c r="Q8" s="4" t="n">
        <f aca="false">RANK(N8,$N$7:$N$307,0)</f>
        <v>2</v>
      </c>
      <c r="R8" s="4" t="n">
        <f aca="false">RANK(O8,$O$7:$O$307,1)</f>
        <v>270</v>
      </c>
      <c r="S8" s="4" t="n">
        <f aca="false">RANK(J8,$J$7:$J$307,0)</f>
        <v>2</v>
      </c>
      <c r="T8" s="4" t="str">
        <f aca="false">IF(O8&lt;0.05,"YES","no")</f>
        <v>no</v>
      </c>
      <c r="U8" s="4" t="str">
        <f aca="false">IF(P8&lt;0.05,"YES","no")</f>
        <v>no</v>
      </c>
      <c r="V8" s="4" t="str">
        <f aca="false">IF(N8&gt;1,"YES","no")</f>
        <v>YES</v>
      </c>
    </row>
    <row r="9" customFormat="false" ht="15" hidden="false" customHeight="false" outlineLevel="0" collapsed="false">
      <c r="A9" s="4" t="s">
        <v>64</v>
      </c>
      <c r="B9" s="4"/>
      <c r="C9" s="4" t="s">
        <v>61</v>
      </c>
      <c r="D9" s="8" t="n">
        <v>204.12298</v>
      </c>
      <c r="E9" s="9" t="n">
        <v>10.121</v>
      </c>
      <c r="F9" s="10" t="n">
        <v>446743621.385769</v>
      </c>
      <c r="G9" s="10" t="n">
        <v>252485053.359316</v>
      </c>
      <c r="H9" s="10" t="n">
        <v>392550334.947052</v>
      </c>
      <c r="I9" s="10" t="n">
        <v>105398465.448652</v>
      </c>
      <c r="J9" s="10" t="n">
        <v>419646978.166411</v>
      </c>
      <c r="K9" s="11" t="n">
        <v>0.878692646420753</v>
      </c>
      <c r="L9" s="11" t="n">
        <v>-0.186569474485633</v>
      </c>
      <c r="M9" s="11" t="n">
        <v>0.151652973402573</v>
      </c>
      <c r="N9" s="11" t="n">
        <v>4.03209522844797</v>
      </c>
      <c r="O9" s="12" t="n">
        <v>0.643028012565784</v>
      </c>
      <c r="P9" s="12" t="n">
        <v>0.741576366981996</v>
      </c>
      <c r="Q9" s="4" t="n">
        <f aca="false">RANK(N9,$N$7:$N$307,0)</f>
        <v>3</v>
      </c>
      <c r="R9" s="4" t="n">
        <f aca="false">RANK(O9,$O$7:$O$307,1)</f>
        <v>261</v>
      </c>
      <c r="S9" s="4" t="n">
        <f aca="false">RANK(J9,$J$7:$J$307,0)</f>
        <v>4</v>
      </c>
      <c r="T9" s="4" t="str">
        <f aca="false">IF(O9&lt;0.05,"YES","no")</f>
        <v>no</v>
      </c>
      <c r="U9" s="4" t="str">
        <f aca="false">IF(P9&lt;0.05,"YES","no")</f>
        <v>no</v>
      </c>
      <c r="V9" s="4" t="str">
        <f aca="false">IF(N9&gt;1,"YES","no")</f>
        <v>YES</v>
      </c>
    </row>
    <row r="10" customFormat="false" ht="15" hidden="false" customHeight="false" outlineLevel="0" collapsed="false">
      <c r="A10" s="4" t="s">
        <v>79</v>
      </c>
      <c r="B10" s="4"/>
      <c r="C10" s="4" t="s">
        <v>61</v>
      </c>
      <c r="D10" s="8" t="n">
        <v>268.104</v>
      </c>
      <c r="E10" s="9" t="n">
        <v>8.014</v>
      </c>
      <c r="F10" s="10" t="n">
        <v>150188480.5536</v>
      </c>
      <c r="G10" s="10" t="n">
        <v>43538726.3546118</v>
      </c>
      <c r="H10" s="10" t="n">
        <v>342909262.770621</v>
      </c>
      <c r="I10" s="10" t="n">
        <v>78291103.3327411</v>
      </c>
      <c r="J10" s="10" t="n">
        <v>246548871.662111</v>
      </c>
      <c r="K10" s="11" t="n">
        <v>2.28319283547343</v>
      </c>
      <c r="L10" s="11" t="n">
        <v>1.19105271284013</v>
      </c>
      <c r="M10" s="11" t="n">
        <v>0.857456192424338</v>
      </c>
      <c r="N10" s="11" t="n">
        <v>4.01707725167981</v>
      </c>
      <c r="O10" s="12" t="n">
        <v>0.000812625790088109</v>
      </c>
      <c r="P10" s="12" t="n">
        <v>0.0201401215916247</v>
      </c>
      <c r="Q10" s="4" t="n">
        <f aca="false">RANK(N10,$N$7:$N$307,0)</f>
        <v>4</v>
      </c>
      <c r="R10" s="4" t="n">
        <f aca="false">RANK(O10,$O$7:$O$307,1)</f>
        <v>12</v>
      </c>
      <c r="S10" s="4" t="n">
        <f aca="false">RANK(J10,$J$7:$J$307,0)</f>
        <v>9</v>
      </c>
      <c r="T10" s="4" t="str">
        <f aca="false">IF(O10&lt;0.05,"YES","no")</f>
        <v>YES</v>
      </c>
      <c r="U10" s="4" t="str">
        <f aca="false">IF(P10&lt;0.05,"YES","no")</f>
        <v>YES</v>
      </c>
      <c r="V10" s="4" t="str">
        <f aca="false">IF(N10&gt;1,"YES","no")</f>
        <v>YES</v>
      </c>
    </row>
    <row r="11" customFormat="false" ht="15" hidden="false" customHeight="false" outlineLevel="0" collapsed="false">
      <c r="A11" s="4" t="s">
        <v>65</v>
      </c>
      <c r="B11" s="4"/>
      <c r="C11" s="4" t="s">
        <v>61</v>
      </c>
      <c r="D11" s="8" t="n">
        <v>118.08616</v>
      </c>
      <c r="E11" s="9" t="n">
        <v>10.135</v>
      </c>
      <c r="F11" s="10" t="n">
        <v>519863127.607792</v>
      </c>
      <c r="G11" s="10" t="n">
        <v>186740738.462875</v>
      </c>
      <c r="H11" s="10" t="n">
        <v>697000435.184816</v>
      </c>
      <c r="I11" s="10" t="n">
        <v>134172833.755446</v>
      </c>
      <c r="J11" s="10" t="n">
        <v>608431781.396304</v>
      </c>
      <c r="K11" s="11" t="n">
        <v>1.34073835625185</v>
      </c>
      <c r="L11" s="11" t="n">
        <v>0.423027724216885</v>
      </c>
      <c r="M11" s="11" t="n">
        <v>0.512416343161998</v>
      </c>
      <c r="N11" s="11" t="n">
        <v>3.3952853417553</v>
      </c>
      <c r="O11" s="12" t="n">
        <v>0.0915061056090326</v>
      </c>
      <c r="P11" s="12" t="n">
        <v>0.184854616028985</v>
      </c>
      <c r="Q11" s="4" t="n">
        <f aca="false">RANK(N11,$N$7:$N$307,0)</f>
        <v>5</v>
      </c>
      <c r="R11" s="4" t="n">
        <f aca="false">RANK(O11,$O$7:$O$307,1)</f>
        <v>149</v>
      </c>
      <c r="S11" s="4" t="n">
        <f aca="false">RANK(J11,$J$7:$J$307,0)</f>
        <v>3</v>
      </c>
      <c r="T11" s="4" t="str">
        <f aca="false">IF(O11&lt;0.05,"YES","no")</f>
        <v>no</v>
      </c>
      <c r="U11" s="4" t="str">
        <f aca="false">IF(P11&lt;0.05,"YES","no")</f>
        <v>no</v>
      </c>
      <c r="V11" s="4" t="str">
        <f aca="false">IF(N11&gt;1,"YES","no")</f>
        <v>YES</v>
      </c>
    </row>
    <row r="12" customFormat="false" ht="15" hidden="false" customHeight="false" outlineLevel="0" collapsed="false">
      <c r="A12" s="4" t="s">
        <v>67</v>
      </c>
      <c r="B12" s="4" t="s">
        <v>68</v>
      </c>
      <c r="C12" s="4" t="s">
        <v>61</v>
      </c>
      <c r="D12" s="8" t="n">
        <v>126.0218</v>
      </c>
      <c r="E12" s="9" t="n">
        <v>10.855</v>
      </c>
      <c r="F12" s="10" t="n">
        <v>309957493.425844</v>
      </c>
      <c r="G12" s="10" t="n">
        <v>107470994.667724</v>
      </c>
      <c r="H12" s="10" t="n">
        <v>487306757.048704</v>
      </c>
      <c r="I12" s="10" t="n">
        <v>82309223.2465024</v>
      </c>
      <c r="J12" s="10" t="n">
        <v>398632125.237274</v>
      </c>
      <c r="K12" s="11" t="n">
        <v>1.57217285397003</v>
      </c>
      <c r="L12" s="11" t="n">
        <v>0.652759844731341</v>
      </c>
      <c r="M12" s="11" t="n">
        <v>0.712285485636441</v>
      </c>
      <c r="N12" s="11" t="n">
        <v>3.3693064656778</v>
      </c>
      <c r="O12" s="12" t="n">
        <v>0.0101484422632351</v>
      </c>
      <c r="P12" s="12" t="n">
        <v>0.054950671357079</v>
      </c>
      <c r="Q12" s="4" t="n">
        <f aca="false">RANK(N12,$N$7:$N$307,0)</f>
        <v>6</v>
      </c>
      <c r="R12" s="4" t="n">
        <f aca="false">RANK(O12,$O$7:$O$307,1)</f>
        <v>54</v>
      </c>
      <c r="S12" s="4" t="n">
        <f aca="false">RANK(J12,$J$7:$J$307,0)</f>
        <v>5</v>
      </c>
      <c r="T12" s="4" t="str">
        <f aca="false">IF(O12&lt;0.05,"YES","no")</f>
        <v>YES</v>
      </c>
      <c r="U12" s="4" t="str">
        <f aca="false">IF(P12&lt;0.05,"YES","no")</f>
        <v>no</v>
      </c>
      <c r="V12" s="4" t="str">
        <f aca="false">IF(N12&gt;1,"YES","no")</f>
        <v>YES</v>
      </c>
    </row>
    <row r="13" customFormat="false" ht="15" hidden="false" customHeight="false" outlineLevel="0" collapsed="false">
      <c r="A13" s="4" t="s">
        <v>66</v>
      </c>
      <c r="B13" s="4"/>
      <c r="C13" s="4" t="s">
        <v>61</v>
      </c>
      <c r="D13" s="8" t="n">
        <v>147.07637</v>
      </c>
      <c r="E13" s="9" t="n">
        <v>11.11</v>
      </c>
      <c r="F13" s="10" t="n">
        <v>195574606.59377</v>
      </c>
      <c r="G13" s="10" t="n">
        <v>67193448.8860608</v>
      </c>
      <c r="H13" s="10" t="n">
        <v>319220412.977018</v>
      </c>
      <c r="I13" s="10" t="n">
        <v>31840424.2214541</v>
      </c>
      <c r="J13" s="10" t="n">
        <v>257397509.785394</v>
      </c>
      <c r="K13" s="11" t="n">
        <v>1.63221810099342</v>
      </c>
      <c r="L13" s="11" t="n">
        <v>0.706833846646608</v>
      </c>
      <c r="M13" s="11" t="n">
        <v>0.789897240277528</v>
      </c>
      <c r="N13" s="11" t="n">
        <v>2.96228200268003</v>
      </c>
      <c r="O13" s="12" t="n">
        <v>0.00453890708444927</v>
      </c>
      <c r="P13" s="12" t="n">
        <v>0.0359425607722596</v>
      </c>
      <c r="Q13" s="4" t="n">
        <f aca="false">RANK(N13,$N$7:$N$307,0)</f>
        <v>7</v>
      </c>
      <c r="R13" s="4" t="n">
        <f aca="false">RANK(O13,$O$7:$O$307,1)</f>
        <v>37</v>
      </c>
      <c r="S13" s="4" t="n">
        <f aca="false">RANK(J13,$J$7:$J$307,0)</f>
        <v>8</v>
      </c>
      <c r="T13" s="4" t="str">
        <f aca="false">IF(O13&lt;0.05,"YES","no")</f>
        <v>YES</v>
      </c>
      <c r="U13" s="4" t="str">
        <f aca="false">IF(P13&lt;0.05,"YES","no")</f>
        <v>YES</v>
      </c>
      <c r="V13" s="4" t="str">
        <f aca="false">IF(N13&gt;1,"YES","no")</f>
        <v>YES</v>
      </c>
    </row>
    <row r="14" customFormat="false" ht="15" hidden="false" customHeight="false" outlineLevel="0" collapsed="false">
      <c r="A14" s="4" t="s">
        <v>70</v>
      </c>
      <c r="B14" s="4" t="s">
        <v>71</v>
      </c>
      <c r="C14" s="4" t="s">
        <v>72</v>
      </c>
      <c r="D14" s="8" t="n">
        <v>89.02433</v>
      </c>
      <c r="E14" s="9" t="n">
        <v>7.221</v>
      </c>
      <c r="F14" s="10" t="n">
        <v>263612091.781113</v>
      </c>
      <c r="G14" s="10" t="n">
        <v>237436047.777027</v>
      </c>
      <c r="H14" s="10" t="n">
        <v>380743934.125024</v>
      </c>
      <c r="I14" s="10" t="n">
        <v>78248500.7222356</v>
      </c>
      <c r="J14" s="10" t="n">
        <v>322178012.953068</v>
      </c>
      <c r="K14" s="11" t="n">
        <v>1.44433410300909</v>
      </c>
      <c r="L14" s="11" t="n">
        <v>0.530404504691144</v>
      </c>
      <c r="M14" s="11" t="n">
        <v>0.341151157655188</v>
      </c>
      <c r="N14" s="11" t="n">
        <v>2.94281968248531</v>
      </c>
      <c r="O14" s="12" t="n">
        <v>0.294296028324119</v>
      </c>
      <c r="P14" s="12" t="n">
        <v>0.412014439653767</v>
      </c>
      <c r="Q14" s="4" t="n">
        <f aca="false">RANK(N14,$N$7:$N$307,0)</f>
        <v>8</v>
      </c>
      <c r="R14" s="4" t="n">
        <f aca="false">RANK(O14,$O$7:$O$307,1)</f>
        <v>215</v>
      </c>
      <c r="S14" s="4" t="n">
        <f aca="false">RANK(J14,$J$7:$J$307,0)</f>
        <v>7</v>
      </c>
      <c r="T14" s="4" t="str">
        <f aca="false">IF(O14&lt;0.05,"YES","no")</f>
        <v>no</v>
      </c>
      <c r="U14" s="4" t="str">
        <f aca="false">IF(P14&lt;0.05,"YES","no")</f>
        <v>no</v>
      </c>
      <c r="V14" s="4" t="str">
        <f aca="false">IF(N14&gt;1,"YES","no")</f>
        <v>YES</v>
      </c>
    </row>
    <row r="15" customFormat="false" ht="15" hidden="false" customHeight="false" outlineLevel="0" collapsed="false">
      <c r="A15" s="4" t="s">
        <v>69</v>
      </c>
      <c r="B15" s="4"/>
      <c r="C15" s="4" t="s">
        <v>61</v>
      </c>
      <c r="D15" s="8" t="n">
        <v>123.05518</v>
      </c>
      <c r="E15" s="9" t="n">
        <v>6.893</v>
      </c>
      <c r="F15" s="10" t="n">
        <v>168865076.208941</v>
      </c>
      <c r="G15" s="10" t="n">
        <v>42910269.3723002</v>
      </c>
      <c r="H15" s="10" t="n">
        <v>269578344.077231</v>
      </c>
      <c r="I15" s="10" t="n">
        <v>53758939.1226499</v>
      </c>
      <c r="J15" s="10" t="n">
        <v>219221710.143086</v>
      </c>
      <c r="K15" s="11" t="n">
        <v>1.59641265162297</v>
      </c>
      <c r="L15" s="11" t="n">
        <v>0.674833617412956</v>
      </c>
      <c r="M15" s="11" t="n">
        <v>0.750074911529484</v>
      </c>
      <c r="N15" s="11" t="n">
        <v>2.63801341556149</v>
      </c>
      <c r="O15" s="12" t="n">
        <v>0.0053518354707965</v>
      </c>
      <c r="P15" s="12" t="n">
        <v>0.0374628482955755</v>
      </c>
      <c r="Q15" s="4" t="n">
        <f aca="false">RANK(N15,$N$7:$N$307,0)</f>
        <v>9</v>
      </c>
      <c r="R15" s="4" t="n">
        <f aca="false">RANK(O15,$O$7:$O$307,1)</f>
        <v>43</v>
      </c>
      <c r="S15" s="4" t="n">
        <f aca="false">RANK(J15,$J$7:$J$307,0)</f>
        <v>10</v>
      </c>
      <c r="T15" s="4" t="str">
        <f aca="false">IF(O15&lt;0.05,"YES","no")</f>
        <v>YES</v>
      </c>
      <c r="U15" s="4" t="str">
        <f aca="false">IF(P15&lt;0.05,"YES","no")</f>
        <v>YES</v>
      </c>
      <c r="V15" s="4" t="str">
        <f aca="false">IF(N15&gt;1,"YES","no")</f>
        <v>YES</v>
      </c>
    </row>
    <row r="16" customFormat="false" ht="15" hidden="false" customHeight="false" outlineLevel="0" collapsed="false">
      <c r="A16" s="4" t="s">
        <v>73</v>
      </c>
      <c r="B16" s="4"/>
      <c r="C16" s="4" t="s">
        <v>61</v>
      </c>
      <c r="D16" s="8" t="n">
        <v>116.07051</v>
      </c>
      <c r="E16" s="9" t="n">
        <v>10.722</v>
      </c>
      <c r="F16" s="10" t="n">
        <v>163101796.67477</v>
      </c>
      <c r="G16" s="10" t="n">
        <v>91496711.7616016</v>
      </c>
      <c r="H16" s="10" t="n">
        <v>273837548.970322</v>
      </c>
      <c r="I16" s="10" t="n">
        <v>48496333.9654528</v>
      </c>
      <c r="J16" s="10" t="n">
        <v>218469672.822546</v>
      </c>
      <c r="K16" s="11" t="n">
        <v>1.67893643450392</v>
      </c>
      <c r="L16" s="11" t="n">
        <v>0.747547610047452</v>
      </c>
      <c r="M16" s="11" t="n">
        <v>0.637899734472601</v>
      </c>
      <c r="N16" s="11" t="n">
        <v>2.63106432210986</v>
      </c>
      <c r="O16" s="12" t="n">
        <v>0.0320391626696478</v>
      </c>
      <c r="P16" s="12" t="n">
        <v>0.0974119996319593</v>
      </c>
      <c r="Q16" s="4" t="n">
        <f aca="false">RANK(N16,$N$7:$N$307,0)</f>
        <v>10</v>
      </c>
      <c r="R16" s="4" t="n">
        <f aca="false">RANK(O16,$O$7:$O$307,1)</f>
        <v>99</v>
      </c>
      <c r="S16" s="4" t="n">
        <f aca="false">RANK(J16,$J$7:$J$307,0)</f>
        <v>11</v>
      </c>
      <c r="T16" s="4" t="str">
        <f aca="false">IF(O16&lt;0.05,"YES","no")</f>
        <v>YES</v>
      </c>
      <c r="U16" s="4" t="str">
        <f aca="false">IF(P16&lt;0.05,"YES","no")</f>
        <v>no</v>
      </c>
      <c r="V16" s="4" t="str">
        <f aca="false">IF(N16&gt;1,"YES","no")</f>
        <v>YES</v>
      </c>
    </row>
    <row r="17" customFormat="false" ht="15" hidden="false" customHeight="false" outlineLevel="0" collapsed="false">
      <c r="A17" s="4" t="s">
        <v>93</v>
      </c>
      <c r="B17" s="4"/>
      <c r="C17" s="4" t="s">
        <v>72</v>
      </c>
      <c r="D17" s="8" t="n">
        <v>112.08688</v>
      </c>
      <c r="E17" s="9" t="n">
        <v>11.095</v>
      </c>
      <c r="F17" s="10" t="n">
        <v>165979836.870811</v>
      </c>
      <c r="G17" s="10" t="n">
        <v>86253112.2397178</v>
      </c>
      <c r="H17" s="10" t="n">
        <v>78721822.6969485</v>
      </c>
      <c r="I17" s="10" t="n">
        <v>39953310.7298006</v>
      </c>
      <c r="J17" s="10" t="n">
        <v>122350829.78388</v>
      </c>
      <c r="K17" s="11" t="n">
        <v>0.474285456481205</v>
      </c>
      <c r="L17" s="11" t="n">
        <v>-1.07617246468231</v>
      </c>
      <c r="M17" s="11" t="n">
        <v>0.579487082409897</v>
      </c>
      <c r="N17" s="11" t="n">
        <v>2.36465545116186</v>
      </c>
      <c r="O17" s="12" t="n">
        <v>0.0590572893400227</v>
      </c>
      <c r="P17" s="12" t="n">
        <v>0.136740339164206</v>
      </c>
      <c r="Q17" s="4" t="n">
        <f aca="false">RANK(N17,$N$7:$N$307,0)</f>
        <v>11</v>
      </c>
      <c r="R17" s="4" t="n">
        <f aca="false">RANK(O17,$O$7:$O$307,1)</f>
        <v>130</v>
      </c>
      <c r="S17" s="4" t="n">
        <f aca="false">RANK(J17,$J$7:$J$307,0)</f>
        <v>15</v>
      </c>
      <c r="T17" s="4" t="str">
        <f aca="false">IF(O17&lt;0.05,"YES","no")</f>
        <v>no</v>
      </c>
      <c r="U17" s="4" t="str">
        <f aca="false">IF(P17&lt;0.05,"YES","no")</f>
        <v>no</v>
      </c>
      <c r="V17" s="4" t="str">
        <f aca="false">IF(N17&gt;1,"YES","no")</f>
        <v>YES</v>
      </c>
    </row>
    <row r="18" customFormat="false" ht="15" hidden="false" customHeight="false" outlineLevel="0" collapsed="false">
      <c r="A18" s="4" t="s">
        <v>81</v>
      </c>
      <c r="B18" s="4"/>
      <c r="C18" s="4" t="s">
        <v>61</v>
      </c>
      <c r="D18" s="8" t="n">
        <v>184.07327</v>
      </c>
      <c r="E18" s="9" t="n">
        <v>11.86</v>
      </c>
      <c r="F18" s="10" t="n">
        <v>48471178.912</v>
      </c>
      <c r="G18" s="10" t="n">
        <v>41271154.2805211</v>
      </c>
      <c r="H18" s="10" t="n">
        <v>132209899.942708</v>
      </c>
      <c r="I18" s="10" t="n">
        <v>79304140.625393</v>
      </c>
      <c r="J18" s="10" t="n">
        <v>90340539.4273538</v>
      </c>
      <c r="K18" s="11" t="n">
        <v>2.72759819155083</v>
      </c>
      <c r="L18" s="11" t="n">
        <v>1.44763113345578</v>
      </c>
      <c r="M18" s="11" t="n">
        <v>0.587254460385705</v>
      </c>
      <c r="N18" s="11" t="n">
        <v>2.10921376633812</v>
      </c>
      <c r="O18" s="12" t="n">
        <v>0.0529205777795346</v>
      </c>
      <c r="P18" s="12" t="n">
        <v>0.127934238480801</v>
      </c>
      <c r="Q18" s="4" t="n">
        <f aca="false">RANK(N18,$N$7:$N$307,0)</f>
        <v>12</v>
      </c>
      <c r="R18" s="4" t="n">
        <f aca="false">RANK(O18,$O$7:$O$307,1)</f>
        <v>123</v>
      </c>
      <c r="S18" s="4" t="n">
        <f aca="false">RANK(J18,$J$7:$J$307,0)</f>
        <v>21</v>
      </c>
      <c r="T18" s="4" t="str">
        <f aca="false">IF(O18&lt;0.05,"YES","no")</f>
        <v>no</v>
      </c>
      <c r="U18" s="4" t="str">
        <f aca="false">IF(P18&lt;0.05,"YES","no")</f>
        <v>no</v>
      </c>
      <c r="V18" s="4" t="str">
        <f aca="false">IF(N18&gt;1,"YES","no")</f>
        <v>YES</v>
      </c>
    </row>
    <row r="19" customFormat="false" ht="15" hidden="false" customHeight="false" outlineLevel="0" collapsed="false">
      <c r="A19" s="4" t="s">
        <v>78</v>
      </c>
      <c r="B19" s="4"/>
      <c r="C19" s="4" t="s">
        <v>61</v>
      </c>
      <c r="D19" s="8" t="n">
        <v>156.0766</v>
      </c>
      <c r="E19" s="9" t="n">
        <v>13.639</v>
      </c>
      <c r="F19" s="10" t="n">
        <v>78099745.0576277</v>
      </c>
      <c r="G19" s="10" t="n">
        <v>39852249.3910862</v>
      </c>
      <c r="H19" s="10" t="n">
        <v>145268924.279442</v>
      </c>
      <c r="I19" s="10" t="n">
        <v>31183097.6140361</v>
      </c>
      <c r="J19" s="10" t="n">
        <v>111684334.668535</v>
      </c>
      <c r="K19" s="11" t="n">
        <v>1.8600435145115</v>
      </c>
      <c r="L19" s="11" t="n">
        <v>0.895336372642774</v>
      </c>
      <c r="M19" s="11" t="n">
        <v>0.716867683066218</v>
      </c>
      <c r="N19" s="11" t="n">
        <v>2.10216584572613</v>
      </c>
      <c r="O19" s="12" t="n">
        <v>0.00935321262109869</v>
      </c>
      <c r="P19" s="12" t="n">
        <v>0.054950671357079</v>
      </c>
      <c r="Q19" s="4" t="n">
        <f aca="false">RANK(N19,$N$7:$N$307,0)</f>
        <v>13</v>
      </c>
      <c r="R19" s="4" t="n">
        <f aca="false">RANK(O19,$O$7:$O$307,1)</f>
        <v>50</v>
      </c>
      <c r="S19" s="4" t="n">
        <f aca="false">RANK(J19,$J$7:$J$307,0)</f>
        <v>17</v>
      </c>
      <c r="T19" s="4" t="str">
        <f aca="false">IF(O19&lt;0.05,"YES","no")</f>
        <v>YES</v>
      </c>
      <c r="U19" s="4" t="str">
        <f aca="false">IF(P19&lt;0.05,"YES","no")</f>
        <v>no</v>
      </c>
      <c r="V19" s="4" t="str">
        <f aca="false">IF(N19&gt;1,"YES","no")</f>
        <v>YES</v>
      </c>
    </row>
    <row r="20" customFormat="false" ht="15" hidden="false" customHeight="false" outlineLevel="0" collapsed="false">
      <c r="A20" s="4" t="s">
        <v>74</v>
      </c>
      <c r="B20" s="4"/>
      <c r="C20" s="4" t="s">
        <v>61</v>
      </c>
      <c r="D20" s="8" t="n">
        <v>148.06035</v>
      </c>
      <c r="E20" s="9" t="n">
        <v>9.8</v>
      </c>
      <c r="F20" s="10" t="n">
        <v>141053605.336107</v>
      </c>
      <c r="G20" s="10" t="n">
        <v>44267004.801289</v>
      </c>
      <c r="H20" s="10" t="n">
        <v>212569507.740385</v>
      </c>
      <c r="I20" s="10" t="n">
        <v>55521767.2768711</v>
      </c>
      <c r="J20" s="10" t="n">
        <v>176811556.538246</v>
      </c>
      <c r="K20" s="11" t="n">
        <v>1.50701222584044</v>
      </c>
      <c r="L20" s="11" t="n">
        <v>0.591691121041791</v>
      </c>
      <c r="M20" s="11" t="n">
        <v>0.615095308679511</v>
      </c>
      <c r="N20" s="11" t="n">
        <v>2.04561734517217</v>
      </c>
      <c r="O20" s="12" t="n">
        <v>0.0343738265321578</v>
      </c>
      <c r="P20" s="12" t="n">
        <v>0.101436488099799</v>
      </c>
      <c r="Q20" s="4" t="n">
        <f aca="false">RANK(N20,$N$7:$N$307,0)</f>
        <v>14</v>
      </c>
      <c r="R20" s="4" t="n">
        <f aca="false">RANK(O20,$O$7:$O$307,1)</f>
        <v>102</v>
      </c>
      <c r="S20" s="4" t="n">
        <f aca="false">RANK(J20,$J$7:$J$307,0)</f>
        <v>12</v>
      </c>
      <c r="T20" s="4" t="str">
        <f aca="false">IF(O20&lt;0.05,"YES","no")</f>
        <v>YES</v>
      </c>
      <c r="U20" s="4" t="str">
        <f aca="false">IF(P20&lt;0.05,"YES","no")</f>
        <v>no</v>
      </c>
      <c r="V20" s="4" t="str">
        <f aca="false">IF(N20&gt;1,"YES","no")</f>
        <v>YES</v>
      </c>
    </row>
    <row r="21" customFormat="false" ht="15" hidden="false" customHeight="false" outlineLevel="0" collapsed="false">
      <c r="A21" s="4" t="s">
        <v>86</v>
      </c>
      <c r="B21" s="4"/>
      <c r="C21" s="4" t="s">
        <v>72</v>
      </c>
      <c r="D21" s="8" t="n">
        <v>258.11003</v>
      </c>
      <c r="E21" s="9" t="n">
        <v>11.271</v>
      </c>
      <c r="F21" s="10" t="n">
        <v>94270142.3302964</v>
      </c>
      <c r="G21" s="10" t="n">
        <v>44420087.5153506</v>
      </c>
      <c r="H21" s="10" t="n">
        <v>163251935.072911</v>
      </c>
      <c r="I21" s="10" t="n">
        <v>62091382.7294778</v>
      </c>
      <c r="J21" s="10" t="n">
        <v>128761038.701604</v>
      </c>
      <c r="K21" s="11" t="n">
        <v>1.73174592758035</v>
      </c>
      <c r="L21" s="11" t="n">
        <v>0.792227281157255</v>
      </c>
      <c r="M21" s="11" t="n">
        <v>0.573404083837721</v>
      </c>
      <c r="N21" s="11" t="n">
        <v>2.00049226712292</v>
      </c>
      <c r="O21" s="12" t="n">
        <v>0.0539788979636601</v>
      </c>
      <c r="P21" s="12" t="n">
        <v>0.127934238480801</v>
      </c>
      <c r="Q21" s="4" t="n">
        <f aca="false">RANK(N21,$N$7:$N$307,0)</f>
        <v>15</v>
      </c>
      <c r="R21" s="4" t="n">
        <f aca="false">RANK(O21,$O$7:$O$307,1)</f>
        <v>127</v>
      </c>
      <c r="S21" s="4" t="n">
        <f aca="false">RANK(J21,$J$7:$J$307,0)</f>
        <v>14</v>
      </c>
      <c r="T21" s="4" t="str">
        <f aca="false">IF(O21&lt;0.05,"YES","no")</f>
        <v>no</v>
      </c>
      <c r="U21" s="4" t="str">
        <f aca="false">IF(P21&lt;0.05,"YES","no")</f>
        <v>no</v>
      </c>
      <c r="V21" s="4" t="str">
        <f aca="false">IF(N21&gt;1,"YES","no")</f>
        <v>YES</v>
      </c>
    </row>
    <row r="22" customFormat="false" ht="15" hidden="false" customHeight="false" outlineLevel="0" collapsed="false">
      <c r="A22" s="4" t="s">
        <v>77</v>
      </c>
      <c r="B22" s="4"/>
      <c r="C22" s="4" t="s">
        <v>72</v>
      </c>
      <c r="D22" s="8" t="n">
        <v>96.96949</v>
      </c>
      <c r="E22" s="9" t="n">
        <v>10.445</v>
      </c>
      <c r="F22" s="10" t="n">
        <v>138520180.887744</v>
      </c>
      <c r="G22" s="10" t="n">
        <v>67269447.3245092</v>
      </c>
      <c r="H22" s="10" t="n">
        <v>203180922.334662</v>
      </c>
      <c r="I22" s="10" t="n">
        <v>49595228.8938167</v>
      </c>
      <c r="J22" s="10" t="n">
        <v>170850551.611203</v>
      </c>
      <c r="K22" s="11" t="n">
        <v>1.46679654208161</v>
      </c>
      <c r="L22" s="11" t="n">
        <v>0.552668770066231</v>
      </c>
      <c r="M22" s="11" t="n">
        <v>0.514048107715551</v>
      </c>
      <c r="N22" s="11" t="n">
        <v>1.96412667898065</v>
      </c>
      <c r="O22" s="12" t="n">
        <v>0.0898953125732235</v>
      </c>
      <c r="P22" s="12" t="n">
        <v>0.182827628949596</v>
      </c>
      <c r="Q22" s="4" t="n">
        <f aca="false">RANK(N22,$N$7:$N$307,0)</f>
        <v>16</v>
      </c>
      <c r="R22" s="4" t="n">
        <f aca="false">RANK(O22,$O$7:$O$307,1)</f>
        <v>148</v>
      </c>
      <c r="S22" s="4" t="n">
        <f aca="false">RANK(J22,$J$7:$J$307,0)</f>
        <v>13</v>
      </c>
      <c r="T22" s="4" t="str">
        <f aca="false">IF(O22&lt;0.05,"YES","no")</f>
        <v>no</v>
      </c>
      <c r="U22" s="4" t="str">
        <f aca="false">IF(P22&lt;0.05,"YES","no")</f>
        <v>no</v>
      </c>
      <c r="V22" s="4" t="str">
        <f aca="false">IF(N22&gt;1,"YES","no")</f>
        <v>YES</v>
      </c>
    </row>
    <row r="23" customFormat="false" ht="15" hidden="false" customHeight="false" outlineLevel="0" collapsed="false">
      <c r="A23" s="4" t="s">
        <v>87</v>
      </c>
      <c r="B23" s="4" t="s">
        <v>88</v>
      </c>
      <c r="C23" s="4" t="s">
        <v>61</v>
      </c>
      <c r="D23" s="8" t="n">
        <v>150.05829</v>
      </c>
      <c r="E23" s="9" t="n">
        <v>9.553</v>
      </c>
      <c r="F23" s="10" t="n">
        <v>42117272.778474</v>
      </c>
      <c r="G23" s="10" t="n">
        <v>27398157.9078322</v>
      </c>
      <c r="H23" s="10" t="n">
        <v>92305379.329228</v>
      </c>
      <c r="I23" s="10" t="n">
        <v>20387246.6388159</v>
      </c>
      <c r="J23" s="10" t="n">
        <v>67211326.053851</v>
      </c>
      <c r="K23" s="11" t="n">
        <v>2.19162764442823</v>
      </c>
      <c r="L23" s="11" t="n">
        <v>1.13200270652436</v>
      </c>
      <c r="M23" s="11" t="n">
        <v>0.751282130736169</v>
      </c>
      <c r="N23" s="11" t="n">
        <v>1.8438749082494</v>
      </c>
      <c r="O23" s="12" t="n">
        <v>0.00551133989988561</v>
      </c>
      <c r="P23" s="12" t="n">
        <v>0.0377025752242175</v>
      </c>
      <c r="Q23" s="4" t="n">
        <f aca="false">RANK(N23,$N$7:$N$307,0)</f>
        <v>17</v>
      </c>
      <c r="R23" s="4" t="n">
        <f aca="false">RANK(O23,$O$7:$O$307,1)</f>
        <v>44</v>
      </c>
      <c r="S23" s="4" t="n">
        <f aca="false">RANK(J23,$J$7:$J$307,0)</f>
        <v>28</v>
      </c>
      <c r="T23" s="4" t="str">
        <f aca="false">IF(O23&lt;0.05,"YES","no")</f>
        <v>YES</v>
      </c>
      <c r="U23" s="4" t="str">
        <f aca="false">IF(P23&lt;0.05,"YES","no")</f>
        <v>YES</v>
      </c>
      <c r="V23" s="4" t="str">
        <f aca="false">IF(N23&gt;1,"YES","no")</f>
        <v>YES</v>
      </c>
    </row>
    <row r="24" customFormat="false" ht="15" hidden="false" customHeight="false" outlineLevel="0" collapsed="false">
      <c r="A24" s="4" t="s">
        <v>89</v>
      </c>
      <c r="B24" s="4"/>
      <c r="C24" s="4" t="s">
        <v>61</v>
      </c>
      <c r="D24" s="8" t="n">
        <v>220.11801</v>
      </c>
      <c r="E24" s="9" t="n">
        <v>6.937</v>
      </c>
      <c r="F24" s="10" t="n">
        <v>66071054.6122933</v>
      </c>
      <c r="G24" s="10" t="n">
        <v>16105017.3793815</v>
      </c>
      <c r="H24" s="10" t="n">
        <v>112463828.085746</v>
      </c>
      <c r="I24" s="10" t="n">
        <v>29430044.3248085</v>
      </c>
      <c r="J24" s="10" t="n">
        <v>89267441.3490197</v>
      </c>
      <c r="K24" s="11" t="n">
        <v>1.70216487001285</v>
      </c>
      <c r="L24" s="11" t="n">
        <v>0.767370781812508</v>
      </c>
      <c r="M24" s="11" t="n">
        <v>0.730969184767484</v>
      </c>
      <c r="N24" s="11" t="n">
        <v>1.78680260418741</v>
      </c>
      <c r="O24" s="12" t="n">
        <v>0.0100003590368741</v>
      </c>
      <c r="P24" s="12" t="n">
        <v>0.054950671357079</v>
      </c>
      <c r="Q24" s="4" t="n">
        <f aca="false">RANK(N24,$N$7:$N$307,0)</f>
        <v>18</v>
      </c>
      <c r="R24" s="4" t="n">
        <f aca="false">RANK(O24,$O$7:$O$307,1)</f>
        <v>53</v>
      </c>
      <c r="S24" s="4" t="n">
        <f aca="false">RANK(J24,$J$7:$J$307,0)</f>
        <v>22</v>
      </c>
      <c r="T24" s="4" t="str">
        <f aca="false">IF(O24&lt;0.05,"YES","no")</f>
        <v>YES</v>
      </c>
      <c r="U24" s="4" t="str">
        <f aca="false">IF(P24&lt;0.05,"YES","no")</f>
        <v>no</v>
      </c>
      <c r="V24" s="4" t="str">
        <f aca="false">IF(N24&gt;1,"YES","no")</f>
        <v>YES</v>
      </c>
    </row>
    <row r="25" customFormat="false" ht="15" hidden="false" customHeight="false" outlineLevel="0" collapsed="false">
      <c r="A25" s="4" t="s">
        <v>99</v>
      </c>
      <c r="B25" s="4"/>
      <c r="C25" s="4" t="s">
        <v>61</v>
      </c>
      <c r="D25" s="8" t="n">
        <v>269.08805</v>
      </c>
      <c r="E25" s="9" t="n">
        <v>8.957</v>
      </c>
      <c r="F25" s="10" t="n">
        <v>8178938.79335972</v>
      </c>
      <c r="G25" s="10" t="n">
        <v>4682154.33091923</v>
      </c>
      <c r="H25" s="10" t="n">
        <v>48935149.2779318</v>
      </c>
      <c r="I25" s="10" t="n">
        <v>26522740.40963</v>
      </c>
      <c r="J25" s="10" t="n">
        <v>28557044.0356458</v>
      </c>
      <c r="K25" s="11" t="n">
        <v>5.98306828236214</v>
      </c>
      <c r="L25" s="11" t="n">
        <v>2.58088552798754</v>
      </c>
      <c r="M25" s="11" t="n">
        <v>0.760764753908156</v>
      </c>
      <c r="N25" s="11" t="n">
        <v>1.7319848905324</v>
      </c>
      <c r="O25" s="12" t="n">
        <v>0.0124692498943902</v>
      </c>
      <c r="P25" s="12" t="n">
        <v>0.0605361970679265</v>
      </c>
      <c r="Q25" s="4" t="n">
        <f aca="false">RANK(N25,$N$7:$N$307,0)</f>
        <v>19</v>
      </c>
      <c r="R25" s="4" t="n">
        <f aca="false">RANK(O25,$O$7:$O$307,1)</f>
        <v>62</v>
      </c>
      <c r="S25" s="4" t="n">
        <f aca="false">RANK(J25,$J$7:$J$307,0)</f>
        <v>48</v>
      </c>
      <c r="T25" s="4" t="str">
        <f aca="false">IF(O25&lt;0.05,"YES","no")</f>
        <v>YES</v>
      </c>
      <c r="U25" s="4" t="str">
        <f aca="false">IF(P25&lt;0.05,"YES","no")</f>
        <v>no</v>
      </c>
      <c r="V25" s="4" t="str">
        <f aca="false">IF(N25&gt;1,"YES","no")</f>
        <v>YES</v>
      </c>
    </row>
    <row r="26" customFormat="false" ht="15" hidden="false" customHeight="false" outlineLevel="0" collapsed="false">
      <c r="A26" s="4" t="s">
        <v>82</v>
      </c>
      <c r="B26" s="4"/>
      <c r="C26" s="4" t="s">
        <v>61</v>
      </c>
      <c r="D26" s="8" t="n">
        <v>166.08629</v>
      </c>
      <c r="E26" s="9" t="n">
        <v>8.757</v>
      </c>
      <c r="F26" s="10" t="n">
        <v>33378281.8947322</v>
      </c>
      <c r="G26" s="10" t="n">
        <v>13592983.3156472</v>
      </c>
      <c r="H26" s="10" t="n">
        <v>71064969.3841796</v>
      </c>
      <c r="I26" s="10" t="n">
        <v>19025638.4060671</v>
      </c>
      <c r="J26" s="10" t="n">
        <v>52221625.6394559</v>
      </c>
      <c r="K26" s="11" t="n">
        <v>2.12907811157875</v>
      </c>
      <c r="L26" s="11" t="n">
        <v>1.0902288803304</v>
      </c>
      <c r="M26" s="11" t="n">
        <v>0.780490783414533</v>
      </c>
      <c r="N26" s="11" t="n">
        <v>1.62778684581399</v>
      </c>
      <c r="O26" s="12" t="n">
        <v>0.00332915391215257</v>
      </c>
      <c r="P26" s="12" t="n">
        <v>0.0313148539861851</v>
      </c>
      <c r="Q26" s="4" t="n">
        <f aca="false">RANK(N26,$N$7:$N$307,0)</f>
        <v>20</v>
      </c>
      <c r="R26" s="4" t="n">
        <f aca="false">RANK(O26,$O$7:$O$307,1)</f>
        <v>32</v>
      </c>
      <c r="S26" s="4" t="n">
        <f aca="false">RANK(J26,$J$7:$J$307,0)</f>
        <v>32</v>
      </c>
      <c r="T26" s="4" t="str">
        <f aca="false">IF(O26&lt;0.05,"YES","no")</f>
        <v>YES</v>
      </c>
      <c r="U26" s="4" t="str">
        <f aca="false">IF(P26&lt;0.05,"YES","no")</f>
        <v>YES</v>
      </c>
      <c r="V26" s="4" t="str">
        <f aca="false">IF(N26&gt;1,"YES","no")</f>
        <v>YES</v>
      </c>
    </row>
    <row r="27" customFormat="false" ht="15" hidden="false" customHeight="false" outlineLevel="0" collapsed="false">
      <c r="A27" s="4" t="s">
        <v>83</v>
      </c>
      <c r="B27" s="4" t="s">
        <v>84</v>
      </c>
      <c r="C27" s="4" t="s">
        <v>61</v>
      </c>
      <c r="D27" s="8" t="n">
        <v>175.11886</v>
      </c>
      <c r="E27" s="9" t="n">
        <v>18.84</v>
      </c>
      <c r="F27" s="10" t="n">
        <v>43043161.5332928</v>
      </c>
      <c r="G27" s="10" t="n">
        <v>28798033.7006866</v>
      </c>
      <c r="H27" s="10" t="n">
        <v>87384841.2333741</v>
      </c>
      <c r="I27" s="10" t="n">
        <v>30861155.0040869</v>
      </c>
      <c r="J27" s="10" t="n">
        <v>65214001.3833334</v>
      </c>
      <c r="K27" s="11" t="n">
        <v>2.03016781575824</v>
      </c>
      <c r="L27" s="11" t="n">
        <v>1.02159898699445</v>
      </c>
      <c r="M27" s="11" t="n">
        <v>0.63115450011704</v>
      </c>
      <c r="N27" s="11" t="n">
        <v>1.62247523165117</v>
      </c>
      <c r="O27" s="12" t="n">
        <v>0.0278375188083733</v>
      </c>
      <c r="P27" s="12" t="n">
        <v>0.0904285938393615</v>
      </c>
      <c r="Q27" s="4" t="n">
        <f aca="false">RANK(N27,$N$7:$N$307,0)</f>
        <v>21</v>
      </c>
      <c r="R27" s="4" t="n">
        <f aca="false">RANK(O27,$O$7:$O$307,1)</f>
        <v>90</v>
      </c>
      <c r="S27" s="4" t="n">
        <f aca="false">RANK(J27,$J$7:$J$307,0)</f>
        <v>29</v>
      </c>
      <c r="T27" s="4" t="str">
        <f aca="false">IF(O27&lt;0.05,"YES","no")</f>
        <v>YES</v>
      </c>
      <c r="U27" s="4" t="str">
        <f aca="false">IF(P27&lt;0.05,"YES","no")</f>
        <v>no</v>
      </c>
      <c r="V27" s="4" t="str">
        <f aca="false">IF(N27&gt;1,"YES","no")</f>
        <v>YES</v>
      </c>
    </row>
    <row r="28" customFormat="false" ht="15" hidden="false" customHeight="false" outlineLevel="0" collapsed="false">
      <c r="A28" s="4" t="s">
        <v>104</v>
      </c>
      <c r="B28" s="4" t="s">
        <v>105</v>
      </c>
      <c r="C28" s="4" t="s">
        <v>72</v>
      </c>
      <c r="D28" s="8" t="n">
        <v>138.0549</v>
      </c>
      <c r="E28" s="9" t="n">
        <v>10.341</v>
      </c>
      <c r="F28" s="10" t="n">
        <v>36465558.3097965</v>
      </c>
      <c r="G28" s="10" t="n">
        <v>14446595.506632</v>
      </c>
      <c r="H28" s="10" t="n">
        <v>73128769.65658</v>
      </c>
      <c r="I28" s="10" t="n">
        <v>18741177.3852121</v>
      </c>
      <c r="J28" s="10" t="n">
        <v>54797163.9831883</v>
      </c>
      <c r="K28" s="11" t="n">
        <v>2.00542026630466</v>
      </c>
      <c r="L28" s="11" t="n">
        <v>1.00390460704317</v>
      </c>
      <c r="M28" s="11" t="n">
        <v>0.768261689456918</v>
      </c>
      <c r="N28" s="11" t="n">
        <v>1.60043920271993</v>
      </c>
      <c r="O28" s="12" t="n">
        <v>0.00393280633466641</v>
      </c>
      <c r="P28" s="12" t="n">
        <v>0.0341228036302566</v>
      </c>
      <c r="Q28" s="4" t="n">
        <f aca="false">RANK(N28,$N$7:$N$307,0)</f>
        <v>22</v>
      </c>
      <c r="R28" s="4" t="n">
        <f aca="false">RANK(O28,$O$7:$O$307,1)</f>
        <v>34</v>
      </c>
      <c r="S28" s="4" t="n">
        <f aca="false">RANK(J28,$J$7:$J$307,0)</f>
        <v>31</v>
      </c>
      <c r="T28" s="4" t="str">
        <f aca="false">IF(O28&lt;0.05,"YES","no")</f>
        <v>YES</v>
      </c>
      <c r="U28" s="4" t="str">
        <f aca="false">IF(P28&lt;0.05,"YES","no")</f>
        <v>YES</v>
      </c>
      <c r="V28" s="4" t="str">
        <f aca="false">IF(N28&gt;1,"YES","no")</f>
        <v>YES</v>
      </c>
    </row>
    <row r="29" customFormat="false" ht="15" hidden="false" customHeight="false" outlineLevel="0" collapsed="false">
      <c r="A29" s="4" t="s">
        <v>76</v>
      </c>
      <c r="B29" s="4"/>
      <c r="C29" s="4" t="s">
        <v>72</v>
      </c>
      <c r="D29" s="8" t="n">
        <v>160.13315</v>
      </c>
      <c r="E29" s="9" t="n">
        <v>12.211</v>
      </c>
      <c r="F29" s="10" t="n">
        <v>52606280.9382984</v>
      </c>
      <c r="G29" s="10" t="n">
        <v>16530598.0274646</v>
      </c>
      <c r="H29" s="10" t="n">
        <v>99214425.740056</v>
      </c>
      <c r="I29" s="10" t="n">
        <v>45366497.5232918</v>
      </c>
      <c r="J29" s="10" t="n">
        <v>75910353.3391772</v>
      </c>
      <c r="K29" s="11" t="n">
        <v>1.88598060859737</v>
      </c>
      <c r="L29" s="11" t="n">
        <v>0.915314842490083</v>
      </c>
      <c r="M29" s="11" t="n">
        <v>0.59882358739086</v>
      </c>
      <c r="N29" s="11" t="n">
        <v>1.60042838015156</v>
      </c>
      <c r="O29" s="12" t="n">
        <v>0.0539249382315731</v>
      </c>
      <c r="P29" s="12" t="n">
        <v>0.127934238480801</v>
      </c>
      <c r="Q29" s="4" t="n">
        <f aca="false">RANK(N29,$N$7:$N$307,0)</f>
        <v>23</v>
      </c>
      <c r="R29" s="4" t="n">
        <f aca="false">RANK(O29,$O$7:$O$307,1)</f>
        <v>126</v>
      </c>
      <c r="S29" s="4" t="n">
        <f aca="false">RANK(J29,$J$7:$J$307,0)</f>
        <v>26</v>
      </c>
      <c r="T29" s="4" t="str">
        <f aca="false">IF(O29&lt;0.05,"YES","no")</f>
        <v>no</v>
      </c>
      <c r="U29" s="4" t="str">
        <f aca="false">IF(P29&lt;0.05,"YES","no")</f>
        <v>no</v>
      </c>
      <c r="V29" s="4" t="str">
        <f aca="false">IF(N29&gt;1,"YES","no")</f>
        <v>YES</v>
      </c>
    </row>
    <row r="30" customFormat="false" ht="15" hidden="false" customHeight="false" outlineLevel="0" collapsed="false">
      <c r="A30" s="4" t="s">
        <v>94</v>
      </c>
      <c r="B30" s="4"/>
      <c r="C30" s="4" t="s">
        <v>61</v>
      </c>
      <c r="D30" s="8" t="n">
        <v>144.10188</v>
      </c>
      <c r="E30" s="9" t="n">
        <v>10.062</v>
      </c>
      <c r="F30" s="10" t="n">
        <v>78536225.9601188</v>
      </c>
      <c r="G30" s="10" t="n">
        <v>30798804.4436937</v>
      </c>
      <c r="H30" s="10" t="n">
        <v>117548127.562264</v>
      </c>
      <c r="I30" s="10" t="n">
        <v>17096875.8777497</v>
      </c>
      <c r="J30" s="10" t="n">
        <v>98042176.7611915</v>
      </c>
      <c r="K30" s="11" t="n">
        <v>1.49673766628353</v>
      </c>
      <c r="L30" s="11" t="n">
        <v>0.581821381906055</v>
      </c>
      <c r="M30" s="11" t="n">
        <v>0.651099278815419</v>
      </c>
      <c r="N30" s="11" t="n">
        <v>1.53622385593811</v>
      </c>
      <c r="O30" s="12" t="n">
        <v>0.0271238082925908</v>
      </c>
      <c r="P30" s="12" t="n">
        <v>0.0904285938393615</v>
      </c>
      <c r="Q30" s="4" t="n">
        <f aca="false">RANK(N30,$N$7:$N$307,0)</f>
        <v>24</v>
      </c>
      <c r="R30" s="4" t="n">
        <f aca="false">RANK(O30,$O$7:$O$307,1)</f>
        <v>88</v>
      </c>
      <c r="S30" s="4" t="n">
        <f aca="false">RANK(J30,$J$7:$J$307,0)</f>
        <v>18</v>
      </c>
      <c r="T30" s="4" t="str">
        <f aca="false">IF(O30&lt;0.05,"YES","no")</f>
        <v>YES</v>
      </c>
      <c r="U30" s="4" t="str">
        <f aca="false">IF(P30&lt;0.05,"YES","no")</f>
        <v>no</v>
      </c>
      <c r="V30" s="4" t="str">
        <f aca="false">IF(N30&gt;1,"YES","no")</f>
        <v>YES</v>
      </c>
    </row>
    <row r="31" customFormat="false" ht="15" hidden="false" customHeight="false" outlineLevel="0" collapsed="false">
      <c r="A31" s="4" t="s">
        <v>96</v>
      </c>
      <c r="B31" s="4"/>
      <c r="C31" s="4" t="s">
        <v>61</v>
      </c>
      <c r="D31" s="8" t="n">
        <v>175.00169</v>
      </c>
      <c r="E31" s="9" t="n">
        <v>8.607</v>
      </c>
      <c r="F31" s="10" t="n">
        <v>14646463.3594011</v>
      </c>
      <c r="G31" s="10" t="n">
        <v>4677960.02562695</v>
      </c>
      <c r="H31" s="10" t="n">
        <v>44027163.6432936</v>
      </c>
      <c r="I31" s="10" t="n">
        <v>18435406.2947078</v>
      </c>
      <c r="J31" s="10" t="n">
        <v>29336813.5013474</v>
      </c>
      <c r="K31" s="11" t="n">
        <v>3.00599281635003</v>
      </c>
      <c r="L31" s="11" t="n">
        <v>1.58784156154018</v>
      </c>
      <c r="M31" s="11" t="n">
        <v>0.767316799726056</v>
      </c>
      <c r="N31" s="11" t="n">
        <v>1.46839097000524</v>
      </c>
      <c r="O31" s="12" t="n">
        <v>0.01025369657985</v>
      </c>
      <c r="P31" s="12" t="n">
        <v>0.054950671357079</v>
      </c>
      <c r="Q31" s="4" t="n">
        <f aca="false">RANK(N31,$N$7:$N$307,0)</f>
        <v>25</v>
      </c>
      <c r="R31" s="4" t="n">
        <f aca="false">RANK(O31,$O$7:$O$307,1)</f>
        <v>55</v>
      </c>
      <c r="S31" s="4" t="n">
        <f aca="false">RANK(J31,$J$7:$J$307,0)</f>
        <v>46</v>
      </c>
      <c r="T31" s="4" t="str">
        <f aca="false">IF(O31&lt;0.05,"YES","no")</f>
        <v>YES</v>
      </c>
      <c r="U31" s="4" t="str">
        <f aca="false">IF(P31&lt;0.05,"YES","no")</f>
        <v>no</v>
      </c>
      <c r="V31" s="4" t="str">
        <f aca="false">IF(N31&gt;1,"YES","no")</f>
        <v>YES</v>
      </c>
    </row>
    <row r="32" customFormat="false" ht="15" hidden="false" customHeight="false" outlineLevel="0" collapsed="false">
      <c r="A32" s="4" t="s">
        <v>103</v>
      </c>
      <c r="B32" s="4"/>
      <c r="C32" s="4" t="s">
        <v>61</v>
      </c>
      <c r="D32" s="8" t="n">
        <v>147.11272</v>
      </c>
      <c r="E32" s="9" t="n">
        <v>18.232</v>
      </c>
      <c r="F32" s="10" t="n">
        <v>32765809.8919353</v>
      </c>
      <c r="G32" s="10" t="n">
        <v>26559508.8684181</v>
      </c>
      <c r="H32" s="10" t="n">
        <v>66759055.196764</v>
      </c>
      <c r="I32" s="10" t="n">
        <v>23459619.7408546</v>
      </c>
      <c r="J32" s="10" t="n">
        <v>49762432.5443497</v>
      </c>
      <c r="K32" s="11" t="n">
        <v>2.03746085987014</v>
      </c>
      <c r="L32" s="11" t="n">
        <v>1.02677234507936</v>
      </c>
      <c r="M32" s="11" t="n">
        <v>0.596420805932016</v>
      </c>
      <c r="N32" s="11" t="n">
        <v>1.43868255652263</v>
      </c>
      <c r="O32" s="12" t="n">
        <v>0.0410241786272405</v>
      </c>
      <c r="P32" s="12" t="n">
        <v>0.114335905248142</v>
      </c>
      <c r="Q32" s="4" t="n">
        <f aca="false">RANK(N32,$N$7:$N$307,0)</f>
        <v>26</v>
      </c>
      <c r="R32" s="4" t="n">
        <f aca="false">RANK(O32,$O$7:$O$307,1)</f>
        <v>108</v>
      </c>
      <c r="S32" s="4" t="n">
        <f aca="false">RANK(J32,$J$7:$J$307,0)</f>
        <v>33</v>
      </c>
      <c r="T32" s="4" t="str">
        <f aca="false">IF(O32&lt;0.05,"YES","no")</f>
        <v>YES</v>
      </c>
      <c r="U32" s="4" t="str">
        <f aca="false">IF(P32&lt;0.05,"YES","no")</f>
        <v>no</v>
      </c>
      <c r="V32" s="4" t="str">
        <f aca="false">IF(N32&gt;1,"YES","no")</f>
        <v>YES</v>
      </c>
    </row>
    <row r="33" customFormat="false" ht="15" hidden="false" customHeight="false" outlineLevel="0" collapsed="false">
      <c r="A33" s="4" t="s">
        <v>118</v>
      </c>
      <c r="B33" s="4"/>
      <c r="C33" s="4" t="s">
        <v>61</v>
      </c>
      <c r="D33" s="8" t="n">
        <v>230.09567</v>
      </c>
      <c r="E33" s="9" t="n">
        <v>11.253</v>
      </c>
      <c r="F33" s="10" t="n">
        <v>21162272.1628691</v>
      </c>
      <c r="G33" s="10" t="n">
        <v>3682694.01247664</v>
      </c>
      <c r="H33" s="10" t="n">
        <v>44077862.3607371</v>
      </c>
      <c r="I33" s="10" t="n">
        <v>6723555.92736579</v>
      </c>
      <c r="J33" s="10" t="n">
        <v>32620067.2618031</v>
      </c>
      <c r="K33" s="11" t="n">
        <v>2.08285112399581</v>
      </c>
      <c r="L33" s="11" t="n">
        <v>1.0585597235126</v>
      </c>
      <c r="M33" s="11" t="n">
        <v>0.918040928263655</v>
      </c>
      <c r="N33" s="11" t="n">
        <v>1.42662921516802</v>
      </c>
      <c r="O33" s="12" t="n">
        <v>9.62990249566784E-005</v>
      </c>
      <c r="P33" s="12" t="n">
        <v>0.0144930032559801</v>
      </c>
      <c r="Q33" s="4" t="n">
        <f aca="false">RANK(N33,$N$7:$N$307,0)</f>
        <v>27</v>
      </c>
      <c r="R33" s="4" t="n">
        <f aca="false">RANK(O33,$O$7:$O$307,1)</f>
        <v>2</v>
      </c>
      <c r="S33" s="4" t="n">
        <f aca="false">RANK(J33,$J$7:$J$307,0)</f>
        <v>43</v>
      </c>
      <c r="T33" s="4" t="str">
        <f aca="false">IF(O33&lt;0.05,"YES","no")</f>
        <v>YES</v>
      </c>
      <c r="U33" s="4" t="str">
        <f aca="false">IF(P33&lt;0.05,"YES","no")</f>
        <v>YES</v>
      </c>
      <c r="V33" s="4" t="str">
        <f aca="false">IF(N33&gt;1,"YES","no")</f>
        <v>YES</v>
      </c>
    </row>
    <row r="34" customFormat="false" ht="15" hidden="false" customHeight="false" outlineLevel="0" collapsed="false">
      <c r="A34" s="4" t="s">
        <v>109</v>
      </c>
      <c r="B34" s="4"/>
      <c r="C34" s="4" t="s">
        <v>61</v>
      </c>
      <c r="D34" s="8" t="n">
        <v>151.02624</v>
      </c>
      <c r="E34" s="9" t="n">
        <v>8.62</v>
      </c>
      <c r="F34" s="10" t="n">
        <v>11264420.6839116</v>
      </c>
      <c r="G34" s="10" t="n">
        <v>4410372.1970568</v>
      </c>
      <c r="H34" s="10" t="n">
        <v>35591491.5010564</v>
      </c>
      <c r="I34" s="10" t="n">
        <v>13048013.9599274</v>
      </c>
      <c r="J34" s="10" t="n">
        <v>23427956.092484</v>
      </c>
      <c r="K34" s="11" t="n">
        <v>3.15963798758776</v>
      </c>
      <c r="L34" s="11" t="n">
        <v>1.65975927250674</v>
      </c>
      <c r="M34" s="11" t="n">
        <v>0.807332665420196</v>
      </c>
      <c r="N34" s="11" t="n">
        <v>1.40049441703797</v>
      </c>
      <c r="O34" s="12" t="n">
        <v>0.00471146880853363</v>
      </c>
      <c r="P34" s="12" t="n">
        <v>0.0359425607722596</v>
      </c>
      <c r="Q34" s="4" t="n">
        <f aca="false">RANK(N34,$N$7:$N$307,0)</f>
        <v>28</v>
      </c>
      <c r="R34" s="4" t="n">
        <f aca="false">RANK(O34,$O$7:$O$307,1)</f>
        <v>38</v>
      </c>
      <c r="S34" s="4" t="n">
        <f aca="false">RANK(J34,$J$7:$J$307,0)</f>
        <v>54</v>
      </c>
      <c r="T34" s="4" t="str">
        <f aca="false">IF(O34&lt;0.05,"YES","no")</f>
        <v>YES</v>
      </c>
      <c r="U34" s="4" t="str">
        <f aca="false">IF(P34&lt;0.05,"YES","no")</f>
        <v>YES</v>
      </c>
      <c r="V34" s="4" t="str">
        <f aca="false">IF(N34&gt;1,"YES","no")</f>
        <v>YES</v>
      </c>
    </row>
    <row r="35" customFormat="false" ht="15" hidden="false" customHeight="false" outlineLevel="0" collapsed="false">
      <c r="A35" s="4" t="s">
        <v>106</v>
      </c>
      <c r="B35" s="4" t="s">
        <v>107</v>
      </c>
      <c r="C35" s="4" t="s">
        <v>72</v>
      </c>
      <c r="D35" s="8" t="n">
        <v>279.23253</v>
      </c>
      <c r="E35" s="9" t="n">
        <v>3.685</v>
      </c>
      <c r="F35" s="10" t="n">
        <v>93439745.4981678</v>
      </c>
      <c r="G35" s="10" t="n">
        <v>87446066.5173912</v>
      </c>
      <c r="H35" s="10" t="n">
        <v>44075700.4416608</v>
      </c>
      <c r="I35" s="10" t="n">
        <v>47377602.0126961</v>
      </c>
      <c r="J35" s="10" t="n">
        <v>68757722.9699143</v>
      </c>
      <c r="K35" s="11" t="n">
        <v>0.471701846004333</v>
      </c>
      <c r="L35" s="11" t="n">
        <v>-1.08405284802434</v>
      </c>
      <c r="M35" s="11" t="n">
        <v>0.358856464202476</v>
      </c>
      <c r="N35" s="11" t="n">
        <v>1.30927646269865</v>
      </c>
      <c r="O35" s="12" t="n">
        <v>0.260012096694126</v>
      </c>
      <c r="P35" s="12" t="n">
        <v>0.374467182320248</v>
      </c>
      <c r="Q35" s="4" t="n">
        <f aca="false">RANK(N35,$N$7:$N$307,0)</f>
        <v>29</v>
      </c>
      <c r="R35" s="4" t="n">
        <f aca="false">RANK(O35,$O$7:$O$307,1)</f>
        <v>209</v>
      </c>
      <c r="S35" s="4" t="n">
        <f aca="false">RANK(J35,$J$7:$J$307,0)</f>
        <v>27</v>
      </c>
      <c r="T35" s="4" t="str">
        <f aca="false">IF(O35&lt;0.05,"YES","no")</f>
        <v>no</v>
      </c>
      <c r="U35" s="4" t="str">
        <f aca="false">IF(P35&lt;0.05,"YES","no")</f>
        <v>no</v>
      </c>
      <c r="V35" s="4" t="str">
        <f aca="false">IF(N35&gt;1,"YES","no")</f>
        <v>YES</v>
      </c>
    </row>
    <row r="36" customFormat="false" ht="15" hidden="false" customHeight="false" outlineLevel="0" collapsed="false">
      <c r="A36" s="4" t="s">
        <v>95</v>
      </c>
      <c r="B36" s="4"/>
      <c r="C36" s="4" t="s">
        <v>61</v>
      </c>
      <c r="D36" s="8" t="n">
        <v>146.11753</v>
      </c>
      <c r="E36" s="9" t="n">
        <v>11.962</v>
      </c>
      <c r="F36" s="10" t="n">
        <v>28471696.0987738</v>
      </c>
      <c r="G36" s="10" t="n">
        <v>6904145.64451939</v>
      </c>
      <c r="H36" s="10" t="n">
        <v>49834108.1624291</v>
      </c>
      <c r="I36" s="10" t="n">
        <v>8965518.27011366</v>
      </c>
      <c r="J36" s="10" t="n">
        <v>39152902.1306015</v>
      </c>
      <c r="K36" s="11" t="n">
        <v>1.75030345889985</v>
      </c>
      <c r="L36" s="11" t="n">
        <v>0.807605071026777</v>
      </c>
      <c r="M36" s="11" t="n">
        <v>0.825446409666296</v>
      </c>
      <c r="N36" s="11" t="n">
        <v>1.27443698577259</v>
      </c>
      <c r="O36" s="12" t="n">
        <v>0.00111568692223048</v>
      </c>
      <c r="P36" s="12" t="n">
        <v>0.0214802342133371</v>
      </c>
      <c r="Q36" s="4" t="n">
        <f aca="false">RANK(N36,$N$7:$N$307,0)</f>
        <v>30</v>
      </c>
      <c r="R36" s="4" t="n">
        <f aca="false">RANK(O36,$O$7:$O$307,1)</f>
        <v>15</v>
      </c>
      <c r="S36" s="4" t="n">
        <f aca="false">RANK(J36,$J$7:$J$307,0)</f>
        <v>38</v>
      </c>
      <c r="T36" s="4" t="str">
        <f aca="false">IF(O36&lt;0.05,"YES","no")</f>
        <v>YES</v>
      </c>
      <c r="U36" s="4" t="str">
        <f aca="false">IF(P36&lt;0.05,"YES","no")</f>
        <v>YES</v>
      </c>
      <c r="V36" s="4" t="str">
        <f aca="false">IF(N36&gt;1,"YES","no")</f>
        <v>YES</v>
      </c>
    </row>
    <row r="37" customFormat="false" ht="15" hidden="false" customHeight="false" outlineLevel="0" collapsed="false">
      <c r="A37" s="4" t="s">
        <v>90</v>
      </c>
      <c r="B37" s="4"/>
      <c r="C37" s="4" t="s">
        <v>61</v>
      </c>
      <c r="D37" s="8" t="n">
        <v>241.12961</v>
      </c>
      <c r="E37" s="9" t="n">
        <v>11.667</v>
      </c>
      <c r="F37" s="10" t="n">
        <v>9969130.11016876</v>
      </c>
      <c r="G37" s="10" t="n">
        <v>21933574.4380744</v>
      </c>
      <c r="H37" s="10" t="n">
        <v>1092104.91100821</v>
      </c>
      <c r="I37" s="10" t="n">
        <v>588646.1903603</v>
      </c>
      <c r="J37" s="10" t="n">
        <v>5530617.51058849</v>
      </c>
      <c r="K37" s="11" t="n">
        <v>0.109548666627817</v>
      </c>
      <c r="L37" s="11" t="n">
        <v>-3.19035617022279</v>
      </c>
      <c r="M37" s="11" t="n">
        <v>0.29904370837845</v>
      </c>
      <c r="N37" s="11" t="n">
        <v>1.2171293956764</v>
      </c>
      <c r="O37" s="12" t="n">
        <v>0.367123946936229</v>
      </c>
      <c r="P37" s="12" t="n">
        <v>0.488426604410591</v>
      </c>
      <c r="Q37" s="4" t="n">
        <f aca="false">RANK(N37,$N$7:$N$307,0)</f>
        <v>31</v>
      </c>
      <c r="R37" s="4" t="n">
        <f aca="false">RANK(O37,$O$7:$O$307,1)</f>
        <v>225</v>
      </c>
      <c r="S37" s="4" t="n">
        <f aca="false">RANK(J37,$J$7:$J$307,0)</f>
        <v>100</v>
      </c>
      <c r="T37" s="4" t="str">
        <f aca="false">IF(O37&lt;0.05,"YES","no")</f>
        <v>no</v>
      </c>
      <c r="U37" s="4" t="str">
        <f aca="false">IF(P37&lt;0.05,"YES","no")</f>
        <v>no</v>
      </c>
      <c r="V37" s="4" t="str">
        <f aca="false">IF(N37&gt;1,"YES","no")</f>
        <v>YES</v>
      </c>
    </row>
    <row r="38" customFormat="false" ht="15" hidden="false" customHeight="false" outlineLevel="0" collapsed="false">
      <c r="A38" s="4" t="s">
        <v>85</v>
      </c>
      <c r="B38" s="4"/>
      <c r="C38" s="4" t="s">
        <v>61</v>
      </c>
      <c r="D38" s="8" t="n">
        <v>90.05487</v>
      </c>
      <c r="E38" s="9" t="n">
        <v>11.327</v>
      </c>
      <c r="F38" s="10" t="n">
        <v>72135994.1337891</v>
      </c>
      <c r="G38" s="10" t="n">
        <v>41774654.9741102</v>
      </c>
      <c r="H38" s="10" t="n">
        <v>81196497.2177879</v>
      </c>
      <c r="I38" s="10" t="n">
        <v>20075693.354856</v>
      </c>
      <c r="J38" s="10" t="n">
        <v>76666245.6757885</v>
      </c>
      <c r="K38" s="11" t="n">
        <v>1.1256030805813</v>
      </c>
      <c r="L38" s="11" t="n">
        <v>0.170698182099741</v>
      </c>
      <c r="M38" s="11" t="n">
        <v>0.149717408548815</v>
      </c>
      <c r="N38" s="11" t="n">
        <v>1.18255871268343</v>
      </c>
      <c r="O38" s="12" t="n">
        <v>0.646264182169061</v>
      </c>
      <c r="P38" s="12" t="n">
        <v>0.742463812339265</v>
      </c>
      <c r="Q38" s="4" t="n">
        <f aca="false">RANK(N38,$N$7:$N$307,0)</f>
        <v>32</v>
      </c>
      <c r="R38" s="4" t="n">
        <f aca="false">RANK(O38,$O$7:$O$307,1)</f>
        <v>262</v>
      </c>
      <c r="S38" s="4" t="n">
        <f aca="false">RANK(J38,$J$7:$J$307,0)</f>
        <v>25</v>
      </c>
      <c r="T38" s="4" t="str">
        <f aca="false">IF(O38&lt;0.05,"YES","no")</f>
        <v>no</v>
      </c>
      <c r="U38" s="4" t="str">
        <f aca="false">IF(P38&lt;0.05,"YES","no")</f>
        <v>no</v>
      </c>
      <c r="V38" s="4" t="str">
        <f aca="false">IF(N38&gt;1,"YES","no")</f>
        <v>YES</v>
      </c>
    </row>
    <row r="39" customFormat="false" ht="15" hidden="false" customHeight="false" outlineLevel="0" collapsed="false">
      <c r="A39" s="4" t="s">
        <v>154</v>
      </c>
      <c r="B39" s="4"/>
      <c r="C39" s="4" t="s">
        <v>61</v>
      </c>
      <c r="D39" s="8" t="n">
        <v>134.04719</v>
      </c>
      <c r="E39" s="9" t="n">
        <v>7.989</v>
      </c>
      <c r="F39" s="10" t="n">
        <v>23469587.3163344</v>
      </c>
      <c r="G39" s="10" t="n">
        <v>5729138.5680804</v>
      </c>
      <c r="H39" s="10" t="n">
        <v>41889109.9062036</v>
      </c>
      <c r="I39" s="10" t="n">
        <v>8991348.75404424</v>
      </c>
      <c r="J39" s="10" t="n">
        <v>32679348.611269</v>
      </c>
      <c r="K39" s="11" t="n">
        <v>1.78482515868737</v>
      </c>
      <c r="L39" s="11" t="n">
        <v>0.83578275489913</v>
      </c>
      <c r="M39" s="11" t="n">
        <v>0.801057467981118</v>
      </c>
      <c r="N39" s="11" t="n">
        <v>1.17806488467506</v>
      </c>
      <c r="O39" s="12" t="n">
        <v>0.00251193917218071</v>
      </c>
      <c r="P39" s="12" t="n">
        <v>0.0313148539861851</v>
      </c>
      <c r="Q39" s="4" t="n">
        <f aca="false">RANK(N39,$N$7:$N$307,0)</f>
        <v>33</v>
      </c>
      <c r="R39" s="4" t="n">
        <f aca="false">RANK(O39,$O$7:$O$307,1)</f>
        <v>23</v>
      </c>
      <c r="S39" s="4" t="n">
        <f aca="false">RANK(J39,$J$7:$J$307,0)</f>
        <v>42</v>
      </c>
      <c r="T39" s="4" t="str">
        <f aca="false">IF(O39&lt;0.05,"YES","no")</f>
        <v>YES</v>
      </c>
      <c r="U39" s="4" t="str">
        <f aca="false">IF(P39&lt;0.05,"YES","no")</f>
        <v>YES</v>
      </c>
      <c r="V39" s="4" t="str">
        <f aca="false">IF(N39&gt;1,"YES","no")</f>
        <v>YES</v>
      </c>
    </row>
    <row r="40" customFormat="false" ht="15" hidden="false" customHeight="false" outlineLevel="0" collapsed="false">
      <c r="A40" s="4" t="s">
        <v>110</v>
      </c>
      <c r="B40" s="4"/>
      <c r="C40" s="4" t="s">
        <v>61</v>
      </c>
      <c r="D40" s="8" t="n">
        <v>76.07564</v>
      </c>
      <c r="E40" s="9" t="n">
        <v>12.042</v>
      </c>
      <c r="F40" s="10" t="n">
        <v>6772379.62573998</v>
      </c>
      <c r="G40" s="10" t="n">
        <v>3304015.3478127</v>
      </c>
      <c r="H40" s="10" t="n">
        <v>21994769.0843578</v>
      </c>
      <c r="I40" s="10" t="n">
        <v>3760457.11136576</v>
      </c>
      <c r="J40" s="10" t="n">
        <v>14383574.3550489</v>
      </c>
      <c r="K40" s="11" t="n">
        <v>3.24771650436748</v>
      </c>
      <c r="L40" s="11" t="n">
        <v>1.69942570407682</v>
      </c>
      <c r="M40" s="11" t="n">
        <v>0.920485771206106</v>
      </c>
      <c r="N40" s="11" t="n">
        <v>1.16636743816461</v>
      </c>
      <c r="O40" s="12" t="n">
        <v>2.39666909340554E-005</v>
      </c>
      <c r="P40" s="12" t="n">
        <v>0.00721397397115069</v>
      </c>
      <c r="Q40" s="4" t="n">
        <f aca="false">RANK(N40,$N$7:$N$307,0)</f>
        <v>34</v>
      </c>
      <c r="R40" s="4" t="n">
        <f aca="false">RANK(O40,$O$7:$O$307,1)</f>
        <v>1</v>
      </c>
      <c r="S40" s="4" t="n">
        <f aca="false">RANK(J40,$J$7:$J$307,0)</f>
        <v>66</v>
      </c>
      <c r="T40" s="4" t="str">
        <f aca="false">IF(O40&lt;0.05,"YES","no")</f>
        <v>YES</v>
      </c>
      <c r="U40" s="4" t="str">
        <f aca="false">IF(P40&lt;0.05,"YES","no")</f>
        <v>YES</v>
      </c>
      <c r="V40" s="4" t="str">
        <f aca="false">IF(N40&gt;1,"YES","no")</f>
        <v>YES</v>
      </c>
    </row>
    <row r="41" customFormat="false" ht="15" hidden="false" customHeight="false" outlineLevel="0" collapsed="false">
      <c r="A41" s="4" t="s">
        <v>100</v>
      </c>
      <c r="B41" s="4" t="s">
        <v>101</v>
      </c>
      <c r="C41" s="4" t="s">
        <v>61</v>
      </c>
      <c r="D41" s="8" t="n">
        <v>182.08114</v>
      </c>
      <c r="E41" s="9" t="n">
        <v>10.237</v>
      </c>
      <c r="F41" s="10" t="n">
        <v>17944354.407057</v>
      </c>
      <c r="G41" s="10" t="n">
        <v>11895498.9309448</v>
      </c>
      <c r="H41" s="10" t="n">
        <v>39852600.1437557</v>
      </c>
      <c r="I41" s="10" t="n">
        <v>13454954.5394286</v>
      </c>
      <c r="J41" s="10" t="n">
        <v>28898477.2754063</v>
      </c>
      <c r="K41" s="11" t="n">
        <v>2.22089907720965</v>
      </c>
      <c r="L41" s="11" t="n">
        <v>1.15114383497525</v>
      </c>
      <c r="M41" s="11" t="n">
        <v>0.686803928337383</v>
      </c>
      <c r="N41" s="11" t="n">
        <v>1.16406049149331</v>
      </c>
      <c r="O41" s="12" t="n">
        <v>0.013834379305598</v>
      </c>
      <c r="P41" s="12" t="n">
        <v>0.0621514652385822</v>
      </c>
      <c r="Q41" s="4" t="n">
        <f aca="false">RANK(N41,$N$7:$N$307,0)</f>
        <v>35</v>
      </c>
      <c r="R41" s="4" t="n">
        <f aca="false">RANK(O41,$O$7:$O$307,1)</f>
        <v>67</v>
      </c>
      <c r="S41" s="4" t="n">
        <f aca="false">RANK(J41,$J$7:$J$307,0)</f>
        <v>47</v>
      </c>
      <c r="T41" s="4" t="str">
        <f aca="false">IF(O41&lt;0.05,"YES","no")</f>
        <v>YES</v>
      </c>
      <c r="U41" s="4" t="str">
        <f aca="false">IF(P41&lt;0.05,"YES","no")</f>
        <v>no</v>
      </c>
      <c r="V41" s="4" t="str">
        <f aca="false">IF(N41&gt;1,"YES","no")</f>
        <v>YES</v>
      </c>
    </row>
    <row r="42" customFormat="false" ht="15" hidden="false" customHeight="false" outlineLevel="0" collapsed="false">
      <c r="A42" s="4" t="s">
        <v>91</v>
      </c>
      <c r="B42" s="4" t="s">
        <v>92</v>
      </c>
      <c r="C42" s="4" t="s">
        <v>61</v>
      </c>
      <c r="D42" s="8" t="n">
        <v>308.09115</v>
      </c>
      <c r="E42" s="9" t="n">
        <v>9.381</v>
      </c>
      <c r="F42" s="10" t="n">
        <v>73540694.2848839</v>
      </c>
      <c r="G42" s="10" t="n">
        <v>27932940.7900217</v>
      </c>
      <c r="H42" s="10" t="n">
        <v>108198328.607267</v>
      </c>
      <c r="I42" s="10" t="n">
        <v>50523193.9088933</v>
      </c>
      <c r="J42" s="10" t="n">
        <v>90869511.4460754</v>
      </c>
      <c r="K42" s="11" t="n">
        <v>1.47127151381146</v>
      </c>
      <c r="L42" s="11" t="n">
        <v>0.55706351136715</v>
      </c>
      <c r="M42" s="11" t="n">
        <v>0.421655402490785</v>
      </c>
      <c r="N42" s="11" t="n">
        <v>1.15280625639483</v>
      </c>
      <c r="O42" s="12" t="n">
        <v>0.180597707619754</v>
      </c>
      <c r="P42" s="12" t="n">
        <v>0.29069470584784</v>
      </c>
      <c r="Q42" s="4" t="n">
        <f aca="false">RANK(N42,$N$7:$N$307,0)</f>
        <v>36</v>
      </c>
      <c r="R42" s="4" t="n">
        <f aca="false">RANK(O42,$O$7:$O$307,1)</f>
        <v>187</v>
      </c>
      <c r="S42" s="4" t="n">
        <f aca="false">RANK(J42,$J$7:$J$307,0)</f>
        <v>20</v>
      </c>
      <c r="T42" s="4" t="str">
        <f aca="false">IF(O42&lt;0.05,"YES","no")</f>
        <v>no</v>
      </c>
      <c r="U42" s="4" t="str">
        <f aca="false">IF(P42&lt;0.05,"YES","no")</f>
        <v>no</v>
      </c>
      <c r="V42" s="4" t="str">
        <f aca="false">IF(N42&gt;1,"YES","no")</f>
        <v>YES</v>
      </c>
    </row>
    <row r="43" customFormat="false" ht="15" hidden="false" customHeight="false" outlineLevel="0" collapsed="false">
      <c r="A43" s="4" t="s">
        <v>114</v>
      </c>
      <c r="B43" s="4"/>
      <c r="C43" s="4" t="s">
        <v>72</v>
      </c>
      <c r="D43" s="8" t="n">
        <v>95.06033</v>
      </c>
      <c r="E43" s="9" t="n">
        <v>11.093</v>
      </c>
      <c r="F43" s="10" t="n">
        <v>58692975.3254247</v>
      </c>
      <c r="G43" s="10" t="n">
        <v>30877919.1867703</v>
      </c>
      <c r="H43" s="10" t="n">
        <v>32296882.6497084</v>
      </c>
      <c r="I43" s="10" t="n">
        <v>10886773.9936649</v>
      </c>
      <c r="J43" s="10" t="n">
        <v>45494928.9875666</v>
      </c>
      <c r="K43" s="11" t="n">
        <v>0.550268281180797</v>
      </c>
      <c r="L43" s="11" t="n">
        <v>-0.861792924319341</v>
      </c>
      <c r="M43" s="11" t="n">
        <v>0.529686891927025</v>
      </c>
      <c r="N43" s="11" t="n">
        <v>1.12047086686808</v>
      </c>
      <c r="O43" s="12" t="n">
        <v>0.0939842141289272</v>
      </c>
      <c r="P43" s="12" t="n">
        <v>0.187346016243756</v>
      </c>
      <c r="Q43" s="4" t="n">
        <f aca="false">RANK(N43,$N$7:$N$307,0)</f>
        <v>37</v>
      </c>
      <c r="R43" s="4" t="n">
        <f aca="false">RANK(O43,$O$7:$O$307,1)</f>
        <v>151</v>
      </c>
      <c r="S43" s="4" t="n">
        <f aca="false">RANK(J43,$J$7:$J$307,0)</f>
        <v>36</v>
      </c>
      <c r="T43" s="4" t="str">
        <f aca="false">IF(O43&lt;0.05,"YES","no")</f>
        <v>no</v>
      </c>
      <c r="U43" s="4" t="str">
        <f aca="false">IF(P43&lt;0.05,"YES","no")</f>
        <v>no</v>
      </c>
      <c r="V43" s="4" t="str">
        <f aca="false">IF(N43&gt;1,"YES","no")</f>
        <v>YES</v>
      </c>
    </row>
    <row r="44" customFormat="false" ht="15" hidden="false" customHeight="false" outlineLevel="0" collapsed="false">
      <c r="A44" s="4" t="s">
        <v>116</v>
      </c>
      <c r="B44" s="4" t="s">
        <v>117</v>
      </c>
      <c r="C44" s="4" t="s">
        <v>61</v>
      </c>
      <c r="D44" s="8" t="n">
        <v>120.0655</v>
      </c>
      <c r="E44" s="9" t="n">
        <v>10.871</v>
      </c>
      <c r="F44" s="10" t="n">
        <v>16495556.8274859</v>
      </c>
      <c r="G44" s="10" t="n">
        <v>8331575.14521911</v>
      </c>
      <c r="H44" s="10" t="n">
        <v>32777268.262523</v>
      </c>
      <c r="I44" s="10" t="n">
        <v>4523227.24867273</v>
      </c>
      <c r="J44" s="10" t="n">
        <v>24636412.5450044</v>
      </c>
      <c r="K44" s="11" t="n">
        <v>1.98703618224682</v>
      </c>
      <c r="L44" s="11" t="n">
        <v>0.990618143082197</v>
      </c>
      <c r="M44" s="11" t="n">
        <v>0.799348211191397</v>
      </c>
      <c r="N44" s="11" t="n">
        <v>1.08242817253294</v>
      </c>
      <c r="O44" s="12" t="n">
        <v>0.00322223061519625</v>
      </c>
      <c r="P44" s="12" t="n">
        <v>0.0313148539861851</v>
      </c>
      <c r="Q44" s="4" t="n">
        <f aca="false">RANK(N44,$N$7:$N$307,0)</f>
        <v>38</v>
      </c>
      <c r="R44" s="4" t="n">
        <f aca="false">RANK(O44,$O$7:$O$307,1)</f>
        <v>30</v>
      </c>
      <c r="S44" s="4" t="n">
        <f aca="false">RANK(J44,$J$7:$J$307,0)</f>
        <v>51</v>
      </c>
      <c r="T44" s="4" t="str">
        <f aca="false">IF(O44&lt;0.05,"YES","no")</f>
        <v>YES</v>
      </c>
      <c r="U44" s="4" t="str">
        <f aca="false">IF(P44&lt;0.05,"YES","no")</f>
        <v>YES</v>
      </c>
      <c r="V44" s="4" t="str">
        <f aca="false">IF(N44&gt;1,"YES","no")</f>
        <v>YES</v>
      </c>
    </row>
    <row r="45" customFormat="false" ht="15" hidden="false" customHeight="false" outlineLevel="0" collapsed="false">
      <c r="A45" s="4" t="s">
        <v>172</v>
      </c>
      <c r="B45" s="4"/>
      <c r="C45" s="4" t="s">
        <v>61</v>
      </c>
      <c r="D45" s="8" t="n">
        <v>146.09241</v>
      </c>
      <c r="E45" s="9" t="n">
        <v>11.851</v>
      </c>
      <c r="F45" s="10" t="n">
        <v>18963608.9272575</v>
      </c>
      <c r="G45" s="10" t="n">
        <v>2823680.30384711</v>
      </c>
      <c r="H45" s="10" t="n">
        <v>30191999.6189997</v>
      </c>
      <c r="I45" s="10" t="n">
        <v>7190602.20698644</v>
      </c>
      <c r="J45" s="10" t="n">
        <v>24577804.2731286</v>
      </c>
      <c r="K45" s="11" t="n">
        <v>1.59210199571259</v>
      </c>
      <c r="L45" s="11" t="n">
        <v>0.67093276301423</v>
      </c>
      <c r="M45" s="11" t="n">
        <v>0.747662763090298</v>
      </c>
      <c r="N45" s="11" t="n">
        <v>1.05058618004825</v>
      </c>
      <c r="O45" s="12" t="n">
        <v>0.0104096378394402</v>
      </c>
      <c r="P45" s="12" t="n">
        <v>0.054950671357079</v>
      </c>
      <c r="Q45" s="4" t="n">
        <f aca="false">RANK(N45,$N$7:$N$307,0)</f>
        <v>39</v>
      </c>
      <c r="R45" s="4" t="n">
        <f aca="false">RANK(O45,$O$7:$O$307,1)</f>
        <v>56</v>
      </c>
      <c r="S45" s="4" t="n">
        <f aca="false">RANK(J45,$J$7:$J$307,0)</f>
        <v>52</v>
      </c>
      <c r="T45" s="4" t="str">
        <f aca="false">IF(O45&lt;0.05,"YES","no")</f>
        <v>YES</v>
      </c>
      <c r="U45" s="4" t="str">
        <f aca="false">IF(P45&lt;0.05,"YES","no")</f>
        <v>no</v>
      </c>
      <c r="V45" s="4" t="str">
        <f aca="false">IF(N45&gt;1,"YES","no")</f>
        <v>YES</v>
      </c>
    </row>
    <row r="46" customFormat="false" ht="15" hidden="false" customHeight="false" outlineLevel="0" collapsed="false">
      <c r="A46" s="4" t="s">
        <v>80</v>
      </c>
      <c r="B46" s="4"/>
      <c r="C46" s="4" t="s">
        <v>61</v>
      </c>
      <c r="D46" s="8" t="n">
        <v>139.05016</v>
      </c>
      <c r="E46" s="9" t="n">
        <v>8.782</v>
      </c>
      <c r="F46" s="10" t="n">
        <v>88609976.7864168</v>
      </c>
      <c r="G46" s="10" t="n">
        <v>50115635.1072807</v>
      </c>
      <c r="H46" s="10" t="n">
        <v>86343785.7563597</v>
      </c>
      <c r="I46" s="10" t="n">
        <v>21840811.0881002</v>
      </c>
      <c r="J46" s="10" t="n">
        <v>87476881.2713883</v>
      </c>
      <c r="K46" s="11" t="n">
        <v>0.974425102993544</v>
      </c>
      <c r="L46" s="11" t="n">
        <v>-0.0373767946708278</v>
      </c>
      <c r="M46" s="11" t="n">
        <v>0.0320933183629515</v>
      </c>
      <c r="N46" s="11" t="n">
        <v>1.02025047185066</v>
      </c>
      <c r="O46" s="12" t="n">
        <v>0.922036715057305</v>
      </c>
      <c r="P46" s="12" t="n">
        <v>0.957010521490513</v>
      </c>
      <c r="Q46" s="4" t="n">
        <f aca="false">RANK(N46,$N$7:$N$307,0)</f>
        <v>40</v>
      </c>
      <c r="R46" s="4" t="n">
        <f aca="false">RANK(O46,$O$7:$O$307,1)</f>
        <v>290</v>
      </c>
      <c r="S46" s="4" t="n">
        <f aca="false">RANK(J46,$J$7:$J$307,0)</f>
        <v>23</v>
      </c>
      <c r="T46" s="4" t="str">
        <f aca="false">IF(O46&lt;0.05,"YES","no")</f>
        <v>no</v>
      </c>
      <c r="U46" s="4" t="str">
        <f aca="false">IF(P46&lt;0.05,"YES","no")</f>
        <v>no</v>
      </c>
      <c r="V46" s="4" t="str">
        <f aca="false">IF(N46&gt;1,"YES","no")</f>
        <v>YES</v>
      </c>
    </row>
    <row r="47" customFormat="false" ht="15" hidden="false" customHeight="false" outlineLevel="0" collapsed="false">
      <c r="A47" s="4" t="s">
        <v>146</v>
      </c>
      <c r="B47" s="4"/>
      <c r="C47" s="4" t="s">
        <v>61</v>
      </c>
      <c r="D47" s="8" t="n">
        <v>112.05047</v>
      </c>
      <c r="E47" s="9" t="n">
        <v>9.687</v>
      </c>
      <c r="F47" s="10" t="n">
        <v>6985669.15717463</v>
      </c>
      <c r="G47" s="10" t="n">
        <v>5764422.17999759</v>
      </c>
      <c r="H47" s="10" t="n">
        <v>22401534.8846258</v>
      </c>
      <c r="I47" s="10" t="n">
        <v>9718072.90627467</v>
      </c>
      <c r="J47" s="10" t="n">
        <v>14693602.0209002</v>
      </c>
      <c r="K47" s="11" t="n">
        <v>3.20678440112187</v>
      </c>
      <c r="L47" s="11" t="n">
        <v>1.68112736160989</v>
      </c>
      <c r="M47" s="11" t="n">
        <v>0.726362774601683</v>
      </c>
      <c r="N47" s="11" t="n">
        <v>1.00370458947902</v>
      </c>
      <c r="O47" s="12" t="n">
        <v>0.00996710280206489</v>
      </c>
      <c r="P47" s="12" t="n">
        <v>0.054950671357079</v>
      </c>
      <c r="Q47" s="4" t="n">
        <f aca="false">RANK(N47,$N$7:$N$307,0)</f>
        <v>41</v>
      </c>
      <c r="R47" s="4" t="n">
        <f aca="false">RANK(O47,$O$7:$O$307,1)</f>
        <v>52</v>
      </c>
      <c r="S47" s="4" t="n">
        <f aca="false">RANK(J47,$J$7:$J$307,0)</f>
        <v>64</v>
      </c>
      <c r="T47" s="4" t="str">
        <f aca="false">IF(O47&lt;0.05,"YES","no")</f>
        <v>YES</v>
      </c>
      <c r="U47" s="4" t="str">
        <f aca="false">IF(P47&lt;0.05,"YES","no")</f>
        <v>no</v>
      </c>
      <c r="V47" s="4" t="str">
        <f aca="false">IF(N47&gt;1,"YES","no")</f>
        <v>YES</v>
      </c>
    </row>
    <row r="48" customFormat="false" ht="15" hidden="false" customHeight="false" outlineLevel="0" collapsed="false">
      <c r="A48" s="4" t="s">
        <v>102</v>
      </c>
      <c r="B48" s="4"/>
      <c r="C48" s="4" t="s">
        <v>61</v>
      </c>
      <c r="D48" s="8" t="n">
        <v>114.06614</v>
      </c>
      <c r="E48" s="9" t="n">
        <v>8.762</v>
      </c>
      <c r="F48" s="10" t="n">
        <v>40889713.3424007</v>
      </c>
      <c r="G48" s="10" t="n">
        <v>32096943.3004879</v>
      </c>
      <c r="H48" s="10" t="n">
        <v>52881060.1992975</v>
      </c>
      <c r="I48" s="10" t="n">
        <v>9359308.20855083</v>
      </c>
      <c r="J48" s="10" t="n">
        <v>46885386.7708491</v>
      </c>
      <c r="K48" s="11" t="n">
        <v>1.29326072199343</v>
      </c>
      <c r="L48" s="11" t="n">
        <v>0.371013152494792</v>
      </c>
      <c r="M48" s="11" t="n">
        <v>0.267679346022153</v>
      </c>
      <c r="N48" s="11" t="n">
        <v>0.964969641536951</v>
      </c>
      <c r="O48" s="12" t="n">
        <v>0.414309423614062</v>
      </c>
      <c r="P48" s="12" t="n">
        <v>0.530924971510783</v>
      </c>
      <c r="Q48" s="4" t="n">
        <f aca="false">RANK(N48,$N$7:$N$307,0)</f>
        <v>42</v>
      </c>
      <c r="R48" s="4" t="n">
        <f aca="false">RANK(O48,$O$7:$O$307,1)</f>
        <v>234</v>
      </c>
      <c r="S48" s="4" t="n">
        <f aca="false">RANK(J48,$J$7:$J$307,0)</f>
        <v>34</v>
      </c>
      <c r="T48" s="4" t="str">
        <f aca="false">IF(O48&lt;0.05,"YES","no")</f>
        <v>no</v>
      </c>
      <c r="U48" s="4" t="str">
        <f aca="false">IF(P48&lt;0.05,"YES","no")</f>
        <v>no</v>
      </c>
      <c r="V48" s="4" t="str">
        <f aca="false">IF(N48&gt;1,"YES","no")</f>
        <v>no</v>
      </c>
    </row>
    <row r="49" customFormat="false" ht="15" hidden="false" customHeight="false" outlineLevel="0" collapsed="false">
      <c r="A49" s="4" t="s">
        <v>123</v>
      </c>
      <c r="B49" s="4"/>
      <c r="C49" s="4" t="s">
        <v>72</v>
      </c>
      <c r="D49" s="8" t="n">
        <v>104.10686</v>
      </c>
      <c r="E49" s="9" t="n">
        <v>8.911</v>
      </c>
      <c r="F49" s="10" t="n">
        <v>352091870.746676</v>
      </c>
      <c r="G49" s="10" t="n">
        <v>141547462.858648</v>
      </c>
      <c r="H49" s="10" t="n">
        <v>335291287.088735</v>
      </c>
      <c r="I49" s="10" t="n">
        <v>151082580.900731</v>
      </c>
      <c r="J49" s="10" t="n">
        <v>343691578.917706</v>
      </c>
      <c r="K49" s="11" t="n">
        <v>0.952283522984179</v>
      </c>
      <c r="L49" s="11" t="n">
        <v>-0.0705369243940912</v>
      </c>
      <c r="M49" s="11" t="n">
        <v>0.0627349194424872</v>
      </c>
      <c r="N49" s="11" t="n">
        <v>0.952870268461385</v>
      </c>
      <c r="O49" s="12" t="n">
        <v>0.846437184003045</v>
      </c>
      <c r="P49" s="12" t="n">
        <v>0.911264016147008</v>
      </c>
      <c r="Q49" s="4" t="n">
        <f aca="false">RANK(N49,$N$7:$N$307,0)</f>
        <v>43</v>
      </c>
      <c r="R49" s="4" t="n">
        <f aca="false">RANK(O49,$O$7:$O$307,1)</f>
        <v>279</v>
      </c>
      <c r="S49" s="4" t="n">
        <f aca="false">RANK(J49,$J$7:$J$307,0)</f>
        <v>6</v>
      </c>
      <c r="T49" s="4" t="str">
        <f aca="false">IF(O49&lt;0.05,"YES","no")</f>
        <v>no</v>
      </c>
      <c r="U49" s="4" t="str">
        <f aca="false">IF(P49&lt;0.05,"YES","no")</f>
        <v>no</v>
      </c>
      <c r="V49" s="4" t="str">
        <f aca="false">IF(N49&gt;1,"YES","no")</f>
        <v>no</v>
      </c>
    </row>
    <row r="50" customFormat="false" ht="15" hidden="false" customHeight="false" outlineLevel="0" collapsed="false">
      <c r="A50" s="4" t="s">
        <v>120</v>
      </c>
      <c r="B50" s="4" t="s">
        <v>121</v>
      </c>
      <c r="C50" s="4" t="s">
        <v>61</v>
      </c>
      <c r="D50" s="8" t="n">
        <v>176.10294</v>
      </c>
      <c r="E50" s="9" t="n">
        <v>11.63</v>
      </c>
      <c r="F50" s="10" t="n">
        <v>15555523.8056565</v>
      </c>
      <c r="G50" s="10" t="n">
        <v>6148072.74999262</v>
      </c>
      <c r="H50" s="10" t="n">
        <v>27703008.2355612</v>
      </c>
      <c r="I50" s="10" t="n">
        <v>3411313.53450353</v>
      </c>
      <c r="J50" s="10" t="n">
        <v>21629266.0206088</v>
      </c>
      <c r="K50" s="11" t="n">
        <v>1.7809113072417</v>
      </c>
      <c r="L50" s="11" t="n">
        <v>0.832615669281336</v>
      </c>
      <c r="M50" s="11" t="n">
        <v>0.801060685175798</v>
      </c>
      <c r="N50" s="11" t="n">
        <v>0.946899120704769</v>
      </c>
      <c r="O50" s="12" t="n">
        <v>0.00302684913023163</v>
      </c>
      <c r="P50" s="12" t="n">
        <v>0.0313148539861851</v>
      </c>
      <c r="Q50" s="4" t="n">
        <f aca="false">RANK(N50,$N$7:$N$307,0)</f>
        <v>44</v>
      </c>
      <c r="R50" s="4" t="n">
        <f aca="false">RANK(O50,$O$7:$O$307,1)</f>
        <v>29</v>
      </c>
      <c r="S50" s="4" t="n">
        <f aca="false">RANK(J50,$J$7:$J$307,0)</f>
        <v>55</v>
      </c>
      <c r="T50" s="4" t="str">
        <f aca="false">IF(O50&lt;0.05,"YES","no")</f>
        <v>YES</v>
      </c>
      <c r="U50" s="4" t="str">
        <f aca="false">IF(P50&lt;0.05,"YES","no")</f>
        <v>YES</v>
      </c>
      <c r="V50" s="4" t="str">
        <f aca="false">IF(N50&gt;1,"YES","no")</f>
        <v>no</v>
      </c>
    </row>
    <row r="51" customFormat="false" ht="15" hidden="false" customHeight="false" outlineLevel="0" collapsed="false">
      <c r="A51" s="4" t="s">
        <v>128</v>
      </c>
      <c r="B51" s="4"/>
      <c r="C51" s="4" t="s">
        <v>61</v>
      </c>
      <c r="D51" s="8" t="n">
        <v>188.05646</v>
      </c>
      <c r="E51" s="9" t="n">
        <v>8.846</v>
      </c>
      <c r="F51" s="10" t="n">
        <v>8542112.17729309</v>
      </c>
      <c r="G51" s="10" t="n">
        <v>4784582.84817364</v>
      </c>
      <c r="H51" s="10" t="n">
        <v>19739346.9623283</v>
      </c>
      <c r="I51" s="10" t="n">
        <v>3575601.61717952</v>
      </c>
      <c r="J51" s="10" t="n">
        <v>14140729.5698107</v>
      </c>
      <c r="K51" s="11" t="n">
        <v>2.31082741043837</v>
      </c>
      <c r="L51" s="11" t="n">
        <v>1.20840951276842</v>
      </c>
      <c r="M51" s="11" t="n">
        <v>0.823593299387298</v>
      </c>
      <c r="N51" s="11" t="n">
        <v>0.918349042638515</v>
      </c>
      <c r="O51" s="12" t="n">
        <v>0.00121316937417518</v>
      </c>
      <c r="P51" s="12" t="n">
        <v>0.0214802342133371</v>
      </c>
      <c r="Q51" s="4" t="n">
        <f aca="false">RANK(N51,$N$7:$N$307,0)</f>
        <v>45</v>
      </c>
      <c r="R51" s="4" t="n">
        <f aca="false">RANK(O51,$O$7:$O$307,1)</f>
        <v>17</v>
      </c>
      <c r="S51" s="4" t="n">
        <f aca="false">RANK(J51,$J$7:$J$307,0)</f>
        <v>67</v>
      </c>
      <c r="T51" s="4" t="str">
        <f aca="false">IF(O51&lt;0.05,"YES","no")</f>
        <v>YES</v>
      </c>
      <c r="U51" s="4" t="str">
        <f aca="false">IF(P51&lt;0.05,"YES","no")</f>
        <v>YES</v>
      </c>
      <c r="V51" s="4" t="str">
        <f aca="false">IF(N51&gt;1,"YES","no")</f>
        <v>no</v>
      </c>
    </row>
    <row r="52" customFormat="false" ht="15" hidden="false" customHeight="false" outlineLevel="0" collapsed="false">
      <c r="A52" s="4" t="s">
        <v>220</v>
      </c>
      <c r="B52" s="4"/>
      <c r="C52" s="4" t="s">
        <v>72</v>
      </c>
      <c r="D52" s="8" t="n">
        <v>522.20298</v>
      </c>
      <c r="E52" s="9" t="n">
        <v>11.479</v>
      </c>
      <c r="F52" s="10" t="n">
        <v>1442017.96189034</v>
      </c>
      <c r="G52" s="10" t="n">
        <v>1415220.25240316</v>
      </c>
      <c r="H52" s="10" t="n">
        <v>12257156.5836598</v>
      </c>
      <c r="I52" s="10" t="n">
        <v>8717631.41886065</v>
      </c>
      <c r="J52" s="10" t="n">
        <v>6849587.27277508</v>
      </c>
      <c r="K52" s="11" t="n">
        <v>8.50000270980809</v>
      </c>
      <c r="L52" s="11" t="n">
        <v>3.08746330118282</v>
      </c>
      <c r="M52" s="11" t="n">
        <v>0.688196579957927</v>
      </c>
      <c r="N52" s="11" t="n">
        <v>0.899814303580559</v>
      </c>
      <c r="O52" s="12" t="n">
        <v>0.0282401588734219</v>
      </c>
      <c r="P52" s="12" t="n">
        <v>0.0904285938393615</v>
      </c>
      <c r="Q52" s="4" t="n">
        <f aca="false">RANK(N52,$N$7:$N$307,0)</f>
        <v>46</v>
      </c>
      <c r="R52" s="4" t="n">
        <f aca="false">RANK(O52,$O$7:$O$307,1)</f>
        <v>94</v>
      </c>
      <c r="S52" s="4" t="n">
        <f aca="false">RANK(J52,$J$7:$J$307,0)</f>
        <v>91</v>
      </c>
      <c r="T52" s="4" t="str">
        <f aca="false">IF(O52&lt;0.05,"YES","no")</f>
        <v>YES</v>
      </c>
      <c r="U52" s="4" t="str">
        <f aca="false">IF(P52&lt;0.05,"YES","no")</f>
        <v>no</v>
      </c>
      <c r="V52" s="4" t="str">
        <f aca="false">IF(N52&gt;1,"YES","no")</f>
        <v>no</v>
      </c>
    </row>
    <row r="53" customFormat="false" ht="15" hidden="false" customHeight="false" outlineLevel="0" collapsed="false">
      <c r="A53" s="4" t="s">
        <v>122</v>
      </c>
      <c r="B53" s="4"/>
      <c r="C53" s="4" t="s">
        <v>61</v>
      </c>
      <c r="D53" s="8" t="n">
        <v>117.01927</v>
      </c>
      <c r="E53" s="9" t="n">
        <v>9.349</v>
      </c>
      <c r="F53" s="10" t="n">
        <v>14374318.679517</v>
      </c>
      <c r="G53" s="10" t="n">
        <v>12933276.6011187</v>
      </c>
      <c r="H53" s="10" t="n">
        <v>10669807.4580133</v>
      </c>
      <c r="I53" s="10" t="n">
        <v>3375851.22423454</v>
      </c>
      <c r="J53" s="10" t="n">
        <v>12522063.0687652</v>
      </c>
      <c r="K53" s="11" t="n">
        <v>0.742282656722887</v>
      </c>
      <c r="L53" s="11" t="n">
        <v>-0.429959433915901</v>
      </c>
      <c r="M53" s="11" t="n">
        <v>0.20989486929682</v>
      </c>
      <c r="N53" s="11" t="n">
        <v>0.897970421927015</v>
      </c>
      <c r="O53" s="12" t="n">
        <v>0.523908972067434</v>
      </c>
      <c r="P53" s="12" t="n">
        <v>0.626722941054752</v>
      </c>
      <c r="Q53" s="4" t="n">
        <f aca="false">RANK(N53,$N$7:$N$307,0)</f>
        <v>47</v>
      </c>
      <c r="R53" s="4" t="n">
        <f aca="false">RANK(O53,$O$7:$O$307,1)</f>
        <v>251</v>
      </c>
      <c r="S53" s="4" t="n">
        <f aca="false">RANK(J53,$J$7:$J$307,0)</f>
        <v>73</v>
      </c>
      <c r="T53" s="4" t="str">
        <f aca="false">IF(O53&lt;0.05,"YES","no")</f>
        <v>no</v>
      </c>
      <c r="U53" s="4" t="str">
        <f aca="false">IF(P53&lt;0.05,"YES","no")</f>
        <v>no</v>
      </c>
      <c r="V53" s="4" t="str">
        <f aca="false">IF(N53&gt;1,"YES","no")</f>
        <v>no</v>
      </c>
    </row>
    <row r="54" customFormat="false" ht="15" hidden="false" customHeight="false" outlineLevel="0" collapsed="false">
      <c r="A54" s="4" t="s">
        <v>115</v>
      </c>
      <c r="B54" s="4"/>
      <c r="C54" s="4" t="s">
        <v>61</v>
      </c>
      <c r="D54" s="8" t="n">
        <v>175.0248</v>
      </c>
      <c r="E54" s="9" t="n">
        <v>9.306</v>
      </c>
      <c r="F54" s="10" t="n">
        <v>48931390.2535524</v>
      </c>
      <c r="G54" s="10" t="n">
        <v>12377605.4461027</v>
      </c>
      <c r="H54" s="10" t="n">
        <v>67335278.9675501</v>
      </c>
      <c r="I54" s="10" t="n">
        <v>22615915.8806091</v>
      </c>
      <c r="J54" s="10" t="n">
        <v>58133334.6105513</v>
      </c>
      <c r="K54" s="11" t="n">
        <v>1.3761162030883</v>
      </c>
      <c r="L54" s="11" t="n">
        <v>0.460602300374887</v>
      </c>
      <c r="M54" s="11" t="n">
        <v>0.483892307669813</v>
      </c>
      <c r="N54" s="11" t="n">
        <v>0.897338575633553</v>
      </c>
      <c r="O54" s="12" t="n">
        <v>0.119713954175892</v>
      </c>
      <c r="P54" s="12" t="n">
        <v>0.21769819719302</v>
      </c>
      <c r="Q54" s="4" t="n">
        <f aca="false">RANK(N54,$N$7:$N$307,0)</f>
        <v>48</v>
      </c>
      <c r="R54" s="4" t="n">
        <f aca="false">RANK(O54,$O$7:$O$307,1)</f>
        <v>163</v>
      </c>
      <c r="S54" s="4" t="n">
        <f aca="false">RANK(J54,$J$7:$J$307,0)</f>
        <v>30</v>
      </c>
      <c r="T54" s="4" t="str">
        <f aca="false">IF(O54&lt;0.05,"YES","no")</f>
        <v>no</v>
      </c>
      <c r="U54" s="4" t="str">
        <f aca="false">IF(P54&lt;0.05,"YES","no")</f>
        <v>no</v>
      </c>
      <c r="V54" s="4" t="str">
        <f aca="false">IF(N54&gt;1,"YES","no")</f>
        <v>no</v>
      </c>
    </row>
    <row r="55" customFormat="false" ht="15" hidden="false" customHeight="false" outlineLevel="0" collapsed="false">
      <c r="A55" s="4" t="s">
        <v>144</v>
      </c>
      <c r="B55" s="4"/>
      <c r="C55" s="4" t="s">
        <v>61</v>
      </c>
      <c r="D55" s="8" t="n">
        <v>162.07603</v>
      </c>
      <c r="E55" s="9" t="n">
        <v>9.989</v>
      </c>
      <c r="F55" s="10" t="n">
        <v>13681239.5569969</v>
      </c>
      <c r="G55" s="10" t="n">
        <v>9098411.87233205</v>
      </c>
      <c r="H55" s="10" t="n">
        <v>26727649.4324996</v>
      </c>
      <c r="I55" s="10" t="n">
        <v>5818992.32693786</v>
      </c>
      <c r="J55" s="10" t="n">
        <v>20204444.4947483</v>
      </c>
      <c r="K55" s="11" t="n">
        <v>1.95359852600713</v>
      </c>
      <c r="L55" s="11" t="n">
        <v>0.9661340169229</v>
      </c>
      <c r="M55" s="11" t="n">
        <v>0.68324377226071</v>
      </c>
      <c r="N55" s="11" t="n">
        <v>0.896045160602388</v>
      </c>
      <c r="O55" s="12" t="n">
        <v>0.0169943257802702</v>
      </c>
      <c r="P55" s="12" t="n">
        <v>0.0710387720344875</v>
      </c>
      <c r="Q55" s="4" t="n">
        <f aca="false">RANK(N55,$N$7:$N$307,0)</f>
        <v>49</v>
      </c>
      <c r="R55" s="4" t="n">
        <f aca="false">RANK(O55,$O$7:$O$307,1)</f>
        <v>70</v>
      </c>
      <c r="S55" s="4" t="n">
        <f aca="false">RANK(J55,$J$7:$J$307,0)</f>
        <v>56</v>
      </c>
      <c r="T55" s="4" t="str">
        <f aca="false">IF(O55&lt;0.05,"YES","no")</f>
        <v>YES</v>
      </c>
      <c r="U55" s="4" t="str">
        <f aca="false">IF(P55&lt;0.05,"YES","no")</f>
        <v>no</v>
      </c>
      <c r="V55" s="4" t="str">
        <f aca="false">IF(N55&gt;1,"YES","no")</f>
        <v>no</v>
      </c>
    </row>
    <row r="56" customFormat="false" ht="15" hidden="false" customHeight="false" outlineLevel="0" collapsed="false">
      <c r="A56" s="4" t="s">
        <v>119</v>
      </c>
      <c r="B56" s="4"/>
      <c r="C56" s="4" t="s">
        <v>61</v>
      </c>
      <c r="D56" s="8" t="n">
        <v>205.09714</v>
      </c>
      <c r="E56" s="9" t="n">
        <v>9.665</v>
      </c>
      <c r="F56" s="10" t="n">
        <v>11755736.9156181</v>
      </c>
      <c r="G56" s="10" t="n">
        <v>4624146.30014195</v>
      </c>
      <c r="H56" s="10" t="n">
        <v>22750769.1330164</v>
      </c>
      <c r="I56" s="10" t="n">
        <v>4217358.57028689</v>
      </c>
      <c r="J56" s="10" t="n">
        <v>17253253.0243172</v>
      </c>
      <c r="K56" s="11" t="n">
        <v>1.93529076878123</v>
      </c>
      <c r="L56" s="11" t="n">
        <v>0.952550341131362</v>
      </c>
      <c r="M56" s="11" t="n">
        <v>0.805822081491006</v>
      </c>
      <c r="N56" s="11" t="n">
        <v>0.892289116515847</v>
      </c>
      <c r="O56" s="12" t="n">
        <v>0.00158363724919611</v>
      </c>
      <c r="P56" s="12" t="n">
        <v>0.0250881480004226</v>
      </c>
      <c r="Q56" s="4" t="n">
        <f aca="false">RANK(N56,$N$7:$N$307,0)</f>
        <v>50</v>
      </c>
      <c r="R56" s="4" t="n">
        <f aca="false">RANK(O56,$O$7:$O$307,1)</f>
        <v>19</v>
      </c>
      <c r="S56" s="4" t="n">
        <f aca="false">RANK(J56,$J$7:$J$307,0)</f>
        <v>59</v>
      </c>
      <c r="T56" s="4" t="str">
        <f aca="false">IF(O56&lt;0.05,"YES","no")</f>
        <v>YES</v>
      </c>
      <c r="U56" s="4" t="str">
        <f aca="false">IF(P56&lt;0.05,"YES","no")</f>
        <v>YES</v>
      </c>
      <c r="V56" s="4" t="str">
        <f aca="false">IF(N56&gt;1,"YES","no")</f>
        <v>no</v>
      </c>
    </row>
    <row r="57" customFormat="false" ht="15" hidden="false" customHeight="false" outlineLevel="0" collapsed="false">
      <c r="A57" s="4" t="s">
        <v>198</v>
      </c>
      <c r="B57" s="4" t="s">
        <v>199</v>
      </c>
      <c r="C57" s="4" t="s">
        <v>61</v>
      </c>
      <c r="D57" s="8" t="n">
        <v>259.02216</v>
      </c>
      <c r="E57" s="9" t="n">
        <v>10.206</v>
      </c>
      <c r="F57" s="10" t="n">
        <v>3691295.89251695</v>
      </c>
      <c r="G57" s="10" t="n">
        <v>3006433.67874061</v>
      </c>
      <c r="H57" s="10" t="n">
        <v>15349444.0650835</v>
      </c>
      <c r="I57" s="10" t="n">
        <v>8446550.01280079</v>
      </c>
      <c r="J57" s="10" t="n">
        <v>9520369.97880023</v>
      </c>
      <c r="K57" s="11" t="n">
        <v>4.15828059088954</v>
      </c>
      <c r="L57" s="11" t="n">
        <v>2.05598711111279</v>
      </c>
      <c r="M57" s="11" t="n">
        <v>0.709644977254901</v>
      </c>
      <c r="N57" s="11" t="n">
        <v>0.882682555383322</v>
      </c>
      <c r="O57" s="12" t="n">
        <v>0.0179366999156845</v>
      </c>
      <c r="P57" s="12" t="n">
        <v>0.0710387720344875</v>
      </c>
      <c r="Q57" s="4" t="n">
        <f aca="false">RANK(N57,$N$7:$N$307,0)</f>
        <v>51</v>
      </c>
      <c r="R57" s="4" t="n">
        <f aca="false">RANK(O57,$O$7:$O$307,1)</f>
        <v>76</v>
      </c>
      <c r="S57" s="4" t="n">
        <f aca="false">RANK(J57,$J$7:$J$307,0)</f>
        <v>82</v>
      </c>
      <c r="T57" s="4" t="str">
        <f aca="false">IF(O57&lt;0.05,"YES","no")</f>
        <v>YES</v>
      </c>
      <c r="U57" s="4" t="str">
        <f aca="false">IF(P57&lt;0.05,"YES","no")</f>
        <v>no</v>
      </c>
      <c r="V57" s="4" t="str">
        <f aca="false">IF(N57&gt;1,"YES","no")</f>
        <v>no</v>
      </c>
    </row>
    <row r="58" customFormat="false" ht="15" hidden="false" customHeight="false" outlineLevel="0" collapsed="false">
      <c r="A58" s="4" t="s">
        <v>127</v>
      </c>
      <c r="B58" s="4"/>
      <c r="C58" s="4" t="s">
        <v>61</v>
      </c>
      <c r="D58" s="8" t="n">
        <v>133.01415</v>
      </c>
      <c r="E58" s="9" t="n">
        <v>10.102</v>
      </c>
      <c r="F58" s="10" t="n">
        <v>26489694.1700875</v>
      </c>
      <c r="G58" s="10" t="n">
        <v>22993489.5296906</v>
      </c>
      <c r="H58" s="10" t="n">
        <v>39716075.3278289</v>
      </c>
      <c r="I58" s="10" t="n">
        <v>25708634.8582786</v>
      </c>
      <c r="J58" s="10" t="n">
        <v>33102884.7489582</v>
      </c>
      <c r="K58" s="11" t="n">
        <v>1.49930290145353</v>
      </c>
      <c r="L58" s="11" t="n">
        <v>0.584291877801662</v>
      </c>
      <c r="M58" s="11" t="n">
        <v>0.284740603376545</v>
      </c>
      <c r="N58" s="11" t="n">
        <v>0.877106814638348</v>
      </c>
      <c r="O58" s="12" t="n">
        <v>0.369970982742906</v>
      </c>
      <c r="P58" s="12" t="n">
        <v>0.488426604410591</v>
      </c>
      <c r="Q58" s="4" t="n">
        <f aca="false">RANK(N58,$N$7:$N$307,0)</f>
        <v>52</v>
      </c>
      <c r="R58" s="4" t="n">
        <f aca="false">RANK(O58,$O$7:$O$307,1)</f>
        <v>228</v>
      </c>
      <c r="S58" s="4" t="n">
        <f aca="false">RANK(J58,$J$7:$J$307,0)</f>
        <v>41</v>
      </c>
      <c r="T58" s="4" t="str">
        <f aca="false">IF(O58&lt;0.05,"YES","no")</f>
        <v>no</v>
      </c>
      <c r="U58" s="4" t="str">
        <f aca="false">IF(P58&lt;0.05,"YES","no")</f>
        <v>no</v>
      </c>
      <c r="V58" s="4" t="str">
        <f aca="false">IF(N58&gt;1,"YES","no")</f>
        <v>no</v>
      </c>
    </row>
    <row r="59" customFormat="false" ht="15" hidden="false" customHeight="false" outlineLevel="0" collapsed="false">
      <c r="A59" s="4" t="s">
        <v>108</v>
      </c>
      <c r="B59" s="4"/>
      <c r="C59" s="4" t="s">
        <v>61</v>
      </c>
      <c r="D59" s="8" t="n">
        <v>227.11387</v>
      </c>
      <c r="E59" s="9" t="n">
        <v>11.951</v>
      </c>
      <c r="F59" s="10" t="n">
        <v>5821665.91355958</v>
      </c>
      <c r="G59" s="10" t="n">
        <v>11993610.5157443</v>
      </c>
      <c r="H59" s="10" t="n">
        <v>1419783.66785303</v>
      </c>
      <c r="I59" s="10" t="n">
        <v>324515.173459597</v>
      </c>
      <c r="J59" s="10" t="n">
        <v>3620724.79070631</v>
      </c>
      <c r="K59" s="11" t="n">
        <v>0.24387927595538</v>
      </c>
      <c r="L59" s="11" t="n">
        <v>-2.03576092694064</v>
      </c>
      <c r="M59" s="11" t="n">
        <v>0.273363189052942</v>
      </c>
      <c r="N59" s="11" t="n">
        <v>0.869802660843677</v>
      </c>
      <c r="O59" s="12" t="n">
        <v>0.409953143244769</v>
      </c>
      <c r="P59" s="12" t="n">
        <v>0.530924971510783</v>
      </c>
      <c r="Q59" s="4" t="n">
        <f aca="false">RANK(N59,$N$7:$N$307,0)</f>
        <v>53</v>
      </c>
      <c r="R59" s="4" t="n">
        <f aca="false">RANK(O59,$O$7:$O$307,1)</f>
        <v>232</v>
      </c>
      <c r="S59" s="4" t="n">
        <f aca="false">RANK(J59,$J$7:$J$307,0)</f>
        <v>119</v>
      </c>
      <c r="T59" s="4" t="str">
        <f aca="false">IF(O59&lt;0.05,"YES","no")</f>
        <v>no</v>
      </c>
      <c r="U59" s="4" t="str">
        <f aca="false">IF(P59&lt;0.05,"YES","no")</f>
        <v>no</v>
      </c>
      <c r="V59" s="4" t="str">
        <f aca="false">IF(N59&gt;1,"YES","no")</f>
        <v>no</v>
      </c>
    </row>
    <row r="60" customFormat="false" ht="15" hidden="false" customHeight="false" outlineLevel="0" collapsed="false">
      <c r="A60" s="4" t="s">
        <v>124</v>
      </c>
      <c r="B60" s="4"/>
      <c r="C60" s="4" t="s">
        <v>72</v>
      </c>
      <c r="D60" s="8" t="n">
        <v>188.07061</v>
      </c>
      <c r="E60" s="9" t="n">
        <v>9.625</v>
      </c>
      <c r="F60" s="10" t="n">
        <v>11425358.2577872</v>
      </c>
      <c r="G60" s="10" t="n">
        <v>5109346.40951853</v>
      </c>
      <c r="H60" s="10" t="n">
        <v>22205260.8031296</v>
      </c>
      <c r="I60" s="10" t="n">
        <v>4403826.21947234</v>
      </c>
      <c r="J60" s="10" t="n">
        <v>16815309.5304584</v>
      </c>
      <c r="K60" s="11" t="n">
        <v>1.94350674194352</v>
      </c>
      <c r="L60" s="11" t="n">
        <v>0.958662112334488</v>
      </c>
      <c r="M60" s="11" t="n">
        <v>0.777895190718395</v>
      </c>
      <c r="N60" s="11" t="n">
        <v>0.868162018963598</v>
      </c>
      <c r="O60" s="12" t="n">
        <v>0.00301277511725944</v>
      </c>
      <c r="P60" s="12" t="n">
        <v>0.0313148539861851</v>
      </c>
      <c r="Q60" s="4" t="n">
        <f aca="false">RANK(N60,$N$7:$N$307,0)</f>
        <v>54</v>
      </c>
      <c r="R60" s="4" t="n">
        <f aca="false">RANK(O60,$O$7:$O$307,1)</f>
        <v>28</v>
      </c>
      <c r="S60" s="4" t="n">
        <f aca="false">RANK(J60,$J$7:$J$307,0)</f>
        <v>61</v>
      </c>
      <c r="T60" s="4" t="str">
        <f aca="false">IF(O60&lt;0.05,"YES","no")</f>
        <v>YES</v>
      </c>
      <c r="U60" s="4" t="str">
        <f aca="false">IF(P60&lt;0.05,"YES","no")</f>
        <v>YES</v>
      </c>
      <c r="V60" s="4" t="str">
        <f aca="false">IF(N60&gt;1,"YES","no")</f>
        <v>no</v>
      </c>
    </row>
    <row r="61" customFormat="false" ht="15" hidden="false" customHeight="false" outlineLevel="0" collapsed="false">
      <c r="A61" s="4" t="s">
        <v>126</v>
      </c>
      <c r="B61" s="4"/>
      <c r="C61" s="4" t="s">
        <v>72</v>
      </c>
      <c r="D61" s="8" t="n">
        <v>154.06224</v>
      </c>
      <c r="E61" s="9" t="n">
        <v>12.328</v>
      </c>
      <c r="F61" s="10" t="n">
        <v>20945384.0028671</v>
      </c>
      <c r="G61" s="10" t="n">
        <v>12134032.1389672</v>
      </c>
      <c r="H61" s="10" t="n">
        <v>33150751.0317109</v>
      </c>
      <c r="I61" s="10" t="n">
        <v>10169224.2888074</v>
      </c>
      <c r="J61" s="10" t="n">
        <v>27048067.517289</v>
      </c>
      <c r="K61" s="11" t="n">
        <v>1.58272347869932</v>
      </c>
      <c r="L61" s="11" t="n">
        <v>0.662409220884653</v>
      </c>
      <c r="M61" s="11" t="n">
        <v>0.512705013572507</v>
      </c>
      <c r="N61" s="11" t="n">
        <v>0.867660039337601</v>
      </c>
      <c r="O61" s="12" t="n">
        <v>0.0891953195047826</v>
      </c>
      <c r="P61" s="12" t="n">
        <v>0.182827628949596</v>
      </c>
      <c r="Q61" s="4" t="n">
        <f aca="false">RANK(N61,$N$7:$N$307,0)</f>
        <v>55</v>
      </c>
      <c r="R61" s="4" t="n">
        <f aca="false">RANK(O61,$O$7:$O$307,1)</f>
        <v>145</v>
      </c>
      <c r="S61" s="4" t="n">
        <f aca="false">RANK(J61,$J$7:$J$307,0)</f>
        <v>50</v>
      </c>
      <c r="T61" s="4" t="str">
        <f aca="false">IF(O61&lt;0.05,"YES","no")</f>
        <v>no</v>
      </c>
      <c r="U61" s="4" t="str">
        <f aca="false">IF(P61&lt;0.05,"YES","no")</f>
        <v>no</v>
      </c>
      <c r="V61" s="4" t="str">
        <f aca="false">IF(N61&gt;1,"YES","no")</f>
        <v>no</v>
      </c>
    </row>
    <row r="62" customFormat="false" ht="15" hidden="false" customHeight="false" outlineLevel="0" collapsed="false">
      <c r="A62" s="4" t="s">
        <v>97</v>
      </c>
      <c r="B62" s="4" t="s">
        <v>98</v>
      </c>
      <c r="C62" s="4" t="s">
        <v>72</v>
      </c>
      <c r="D62" s="8" t="n">
        <v>218.13866</v>
      </c>
      <c r="E62" s="9" t="n">
        <v>9.458</v>
      </c>
      <c r="F62" s="10" t="n">
        <v>34639710.8637834</v>
      </c>
      <c r="G62" s="10" t="n">
        <v>12028069.7181063</v>
      </c>
      <c r="H62" s="10" t="n">
        <v>25415571.9108278</v>
      </c>
      <c r="I62" s="10" t="n">
        <v>19130866.2445467</v>
      </c>
      <c r="J62" s="10" t="n">
        <v>30027641.3873056</v>
      </c>
      <c r="K62" s="11" t="n">
        <v>0.733712010783564</v>
      </c>
      <c r="L62" s="11" t="n">
        <v>-0.446714192777784</v>
      </c>
      <c r="M62" s="11" t="n">
        <v>0.301469455476444</v>
      </c>
      <c r="N62" s="11" t="n">
        <v>0.850195212123433</v>
      </c>
      <c r="O62" s="12" t="n">
        <v>0.345252989100512</v>
      </c>
      <c r="P62" s="12" t="n">
        <v>0.469282930144861</v>
      </c>
      <c r="Q62" s="4" t="n">
        <f aca="false">RANK(N62,$N$7:$N$307,0)</f>
        <v>56</v>
      </c>
      <c r="R62" s="4" t="n">
        <f aca="false">RANK(O62,$O$7:$O$307,1)</f>
        <v>221</v>
      </c>
      <c r="S62" s="4" t="n">
        <f aca="false">RANK(J62,$J$7:$J$307,0)</f>
        <v>45</v>
      </c>
      <c r="T62" s="4" t="str">
        <f aca="false">IF(O62&lt;0.05,"YES","no")</f>
        <v>no</v>
      </c>
      <c r="U62" s="4" t="str">
        <f aca="false">IF(P62&lt;0.05,"YES","no")</f>
        <v>no</v>
      </c>
      <c r="V62" s="4" t="str">
        <f aca="false">IF(N62&gt;1,"YES","no")</f>
        <v>no</v>
      </c>
    </row>
    <row r="63" customFormat="false" ht="15" hidden="false" customHeight="false" outlineLevel="0" collapsed="false">
      <c r="A63" s="4" t="s">
        <v>151</v>
      </c>
      <c r="B63" s="4"/>
      <c r="C63" s="4" t="s">
        <v>61</v>
      </c>
      <c r="D63" s="8" t="n">
        <v>229.01174</v>
      </c>
      <c r="E63" s="9" t="n">
        <v>9.596</v>
      </c>
      <c r="F63" s="10" t="n">
        <v>3883554.2525929</v>
      </c>
      <c r="G63" s="10" t="n">
        <v>1478273.75688052</v>
      </c>
      <c r="H63" s="10" t="n">
        <v>12485500.7179428</v>
      </c>
      <c r="I63" s="10" t="n">
        <v>3940810.23460676</v>
      </c>
      <c r="J63" s="10" t="n">
        <v>8184527.48526785</v>
      </c>
      <c r="K63" s="11" t="n">
        <v>3.21496750292769</v>
      </c>
      <c r="L63" s="11" t="n">
        <v>1.68480415478432</v>
      </c>
      <c r="M63" s="11" t="n">
        <v>0.845447826209011</v>
      </c>
      <c r="N63" s="11" t="n">
        <v>0.832831845554612</v>
      </c>
      <c r="O63" s="12" t="n">
        <v>0.00204053003558809</v>
      </c>
      <c r="P63" s="12" t="n">
        <v>0.0307099770356007</v>
      </c>
      <c r="Q63" s="4" t="n">
        <f aca="false">RANK(N63,$N$7:$N$307,0)</f>
        <v>57</v>
      </c>
      <c r="R63" s="4" t="n">
        <f aca="false">RANK(O63,$O$7:$O$307,1)</f>
        <v>20</v>
      </c>
      <c r="S63" s="4" t="n">
        <f aca="false">RANK(J63,$J$7:$J$307,0)</f>
        <v>87</v>
      </c>
      <c r="T63" s="4" t="str">
        <f aca="false">IF(O63&lt;0.05,"YES","no")</f>
        <v>YES</v>
      </c>
      <c r="U63" s="4" t="str">
        <f aca="false">IF(P63&lt;0.05,"YES","no")</f>
        <v>YES</v>
      </c>
      <c r="V63" s="4" t="str">
        <f aca="false">IF(N63&gt;1,"YES","no")</f>
        <v>no</v>
      </c>
    </row>
    <row r="64" customFormat="false" ht="15" hidden="false" customHeight="false" outlineLevel="0" collapsed="false">
      <c r="A64" s="4" t="s">
        <v>125</v>
      </c>
      <c r="B64" s="4"/>
      <c r="C64" s="4" t="s">
        <v>61</v>
      </c>
      <c r="D64" s="8" t="n">
        <v>171.00639</v>
      </c>
      <c r="E64" s="9" t="n">
        <v>9.574</v>
      </c>
      <c r="F64" s="10" t="n">
        <v>7198733.78990699</v>
      </c>
      <c r="G64" s="10" t="n">
        <v>11600767.1045678</v>
      </c>
      <c r="H64" s="10" t="n">
        <v>3287676.95776697</v>
      </c>
      <c r="I64" s="10" t="n">
        <v>3100550.72617948</v>
      </c>
      <c r="J64" s="10" t="n">
        <v>5243205.37383698</v>
      </c>
      <c r="K64" s="11" t="n">
        <v>0.456702116471715</v>
      </c>
      <c r="L64" s="11" t="n">
        <v>-1.13067461934633</v>
      </c>
      <c r="M64" s="11" t="n">
        <v>0.244625042646055</v>
      </c>
      <c r="N64" s="11" t="n">
        <v>0.832177651404891</v>
      </c>
      <c r="O64" s="12" t="n">
        <v>0.456861537394299</v>
      </c>
      <c r="P64" s="12" t="n">
        <v>0.568245135354065</v>
      </c>
      <c r="Q64" s="4" t="n">
        <f aca="false">RANK(N64,$N$7:$N$307,0)</f>
        <v>58</v>
      </c>
      <c r="R64" s="4" t="n">
        <f aca="false">RANK(O64,$O$7:$O$307,1)</f>
        <v>242</v>
      </c>
      <c r="S64" s="4" t="n">
        <f aca="false">RANK(J64,$J$7:$J$307,0)</f>
        <v>103</v>
      </c>
      <c r="T64" s="4" t="str">
        <f aca="false">IF(O64&lt;0.05,"YES","no")</f>
        <v>no</v>
      </c>
      <c r="U64" s="4" t="str">
        <f aca="false">IF(P64&lt;0.05,"YES","no")</f>
        <v>no</v>
      </c>
      <c r="V64" s="4" t="str">
        <f aca="false">IF(N64&gt;1,"YES","no")</f>
        <v>no</v>
      </c>
    </row>
    <row r="65" customFormat="false" ht="15" hidden="false" customHeight="false" outlineLevel="0" collapsed="false">
      <c r="A65" s="4" t="s">
        <v>159</v>
      </c>
      <c r="B65" s="4"/>
      <c r="C65" s="4" t="s">
        <v>72</v>
      </c>
      <c r="D65" s="8" t="n">
        <v>137.07089</v>
      </c>
      <c r="E65" s="9" t="n">
        <v>7.879</v>
      </c>
      <c r="F65" s="10" t="n">
        <v>39338648.697002</v>
      </c>
      <c r="G65" s="10" t="n">
        <v>7207730.90806247</v>
      </c>
      <c r="H65" s="10" t="n">
        <v>27419184.8925999</v>
      </c>
      <c r="I65" s="10" t="n">
        <v>10377251.0808377</v>
      </c>
      <c r="J65" s="10" t="n">
        <v>33378916.7948009</v>
      </c>
      <c r="K65" s="11" t="n">
        <v>0.697003730448156</v>
      </c>
      <c r="L65" s="11" t="n">
        <v>-0.520761717294879</v>
      </c>
      <c r="M65" s="11" t="n">
        <v>0.590001503960533</v>
      </c>
      <c r="N65" s="11" t="n">
        <v>0.828030123749421</v>
      </c>
      <c r="O65" s="12" t="n">
        <v>0.0464420862451597</v>
      </c>
      <c r="P65" s="12" t="n">
        <v>0.123220152203453</v>
      </c>
      <c r="Q65" s="4" t="n">
        <f aca="false">RANK(N65,$N$7:$N$307,0)</f>
        <v>59</v>
      </c>
      <c r="R65" s="4" t="n">
        <f aca="false">RANK(O65,$O$7:$O$307,1)</f>
        <v>113</v>
      </c>
      <c r="S65" s="4" t="n">
        <f aca="false">RANK(J65,$J$7:$J$307,0)</f>
        <v>40</v>
      </c>
      <c r="T65" s="4" t="str">
        <f aca="false">IF(O65&lt;0.05,"YES","no")</f>
        <v>YES</v>
      </c>
      <c r="U65" s="4" t="str">
        <f aca="false">IF(P65&lt;0.05,"YES","no")</f>
        <v>no</v>
      </c>
      <c r="V65" s="4" t="str">
        <f aca="false">IF(N65&gt;1,"YES","no")</f>
        <v>no</v>
      </c>
    </row>
    <row r="66" customFormat="false" ht="15" hidden="false" customHeight="false" outlineLevel="0" collapsed="false">
      <c r="A66" s="4" t="s">
        <v>136</v>
      </c>
      <c r="B66" s="4" t="s">
        <v>137</v>
      </c>
      <c r="C66" s="4" t="s">
        <v>72</v>
      </c>
      <c r="D66" s="8" t="n">
        <v>281.24811</v>
      </c>
      <c r="E66" s="9" t="n">
        <v>3.644</v>
      </c>
      <c r="F66" s="10" t="n">
        <v>39718060.2569523</v>
      </c>
      <c r="G66" s="10" t="n">
        <v>30305719.8939419</v>
      </c>
      <c r="H66" s="10" t="n">
        <v>20700690.7903213</v>
      </c>
      <c r="I66" s="10" t="n">
        <v>18882059.2045627</v>
      </c>
      <c r="J66" s="10" t="n">
        <v>30209375.5236368</v>
      </c>
      <c r="K66" s="11" t="n">
        <v>0.521190880330009</v>
      </c>
      <c r="L66" s="11" t="n">
        <v>-0.940116254683883</v>
      </c>
      <c r="M66" s="11" t="n">
        <v>0.381370194460741</v>
      </c>
      <c r="N66" s="11" t="n">
        <v>0.823844402839482</v>
      </c>
      <c r="O66" s="12" t="n">
        <v>0.226742787826117</v>
      </c>
      <c r="P66" s="12" t="n">
        <v>0.346444564140412</v>
      </c>
      <c r="Q66" s="4" t="n">
        <f aca="false">RANK(N66,$N$7:$N$307,0)</f>
        <v>60</v>
      </c>
      <c r="R66" s="4" t="n">
        <f aca="false">RANK(O66,$O$7:$O$307,1)</f>
        <v>197</v>
      </c>
      <c r="S66" s="4" t="n">
        <f aca="false">RANK(J66,$J$7:$J$307,0)</f>
        <v>44</v>
      </c>
      <c r="T66" s="4" t="str">
        <f aca="false">IF(O66&lt;0.05,"YES","no")</f>
        <v>no</v>
      </c>
      <c r="U66" s="4" t="str">
        <f aca="false">IF(P66&lt;0.05,"YES","no")</f>
        <v>no</v>
      </c>
      <c r="V66" s="4" t="str">
        <f aca="false">IF(N66&gt;1,"YES","no")</f>
        <v>no</v>
      </c>
    </row>
    <row r="67" customFormat="false" ht="15" hidden="false" customHeight="false" outlineLevel="0" collapsed="false">
      <c r="A67" s="4" t="s">
        <v>129</v>
      </c>
      <c r="B67" s="4"/>
      <c r="C67" s="4" t="s">
        <v>61</v>
      </c>
      <c r="D67" s="8" t="n">
        <v>191.01965</v>
      </c>
      <c r="E67" s="9" t="n">
        <v>11.31</v>
      </c>
      <c r="F67" s="10" t="n">
        <v>11105696.4230214</v>
      </c>
      <c r="G67" s="10" t="n">
        <v>5767655.39072196</v>
      </c>
      <c r="H67" s="10" t="n">
        <v>21109157.3053615</v>
      </c>
      <c r="I67" s="10" t="n">
        <v>6835109.11330026</v>
      </c>
      <c r="J67" s="10" t="n">
        <v>16107426.8641914</v>
      </c>
      <c r="K67" s="11" t="n">
        <v>1.90075043484923</v>
      </c>
      <c r="L67" s="11" t="n">
        <v>0.926569121128449</v>
      </c>
      <c r="M67" s="11" t="n">
        <v>0.654819195799137</v>
      </c>
      <c r="N67" s="11" t="n">
        <v>0.770529552594902</v>
      </c>
      <c r="O67" s="12" t="n">
        <v>0.0213461884057681</v>
      </c>
      <c r="P67" s="12" t="n">
        <v>0.0813316798751417</v>
      </c>
      <c r="Q67" s="4" t="n">
        <f aca="false">RANK(N67,$N$7:$N$307,0)</f>
        <v>61</v>
      </c>
      <c r="R67" s="4" t="n">
        <f aca="false">RANK(O67,$O$7:$O$307,1)</f>
        <v>79</v>
      </c>
      <c r="S67" s="4" t="n">
        <f aca="false">RANK(J67,$J$7:$J$307,0)</f>
        <v>62</v>
      </c>
      <c r="T67" s="4" t="str">
        <f aca="false">IF(O67&lt;0.05,"YES","no")</f>
        <v>YES</v>
      </c>
      <c r="U67" s="4" t="str">
        <f aca="false">IF(P67&lt;0.05,"YES","no")</f>
        <v>no</v>
      </c>
      <c r="V67" s="4" t="str">
        <f aca="false">IF(N67&gt;1,"YES","no")</f>
        <v>no</v>
      </c>
    </row>
    <row r="68" customFormat="false" ht="15" hidden="false" customHeight="false" outlineLevel="0" collapsed="false">
      <c r="A68" s="4" t="s">
        <v>133</v>
      </c>
      <c r="B68" s="4"/>
      <c r="C68" s="4" t="s">
        <v>61</v>
      </c>
      <c r="D68" s="8" t="n">
        <v>349.05452</v>
      </c>
      <c r="E68" s="9" t="n">
        <v>9.655</v>
      </c>
      <c r="F68" s="10" t="n">
        <v>12602399.2689598</v>
      </c>
      <c r="G68" s="10" t="n">
        <v>9152119.76476962</v>
      </c>
      <c r="H68" s="10" t="n">
        <v>9106360.13995474</v>
      </c>
      <c r="I68" s="10" t="n">
        <v>5973501.42028525</v>
      </c>
      <c r="J68" s="10" t="n">
        <v>10854379.7044573</v>
      </c>
      <c r="K68" s="11" t="n">
        <v>0.722589401082068</v>
      </c>
      <c r="L68" s="11" t="n">
        <v>-0.468752001365944</v>
      </c>
      <c r="M68" s="11" t="n">
        <v>0.24050882030605</v>
      </c>
      <c r="N68" s="11" t="n">
        <v>0.750234202617655</v>
      </c>
      <c r="O68" s="12" t="n">
        <v>0.454324409412304</v>
      </c>
      <c r="P68" s="12" t="n">
        <v>0.567434220884246</v>
      </c>
      <c r="Q68" s="4" t="n">
        <f aca="false">RANK(N68,$N$7:$N$307,0)</f>
        <v>62</v>
      </c>
      <c r="R68" s="4" t="n">
        <f aca="false">RANK(O68,$O$7:$O$307,1)</f>
        <v>241</v>
      </c>
      <c r="S68" s="4" t="n">
        <f aca="false">RANK(J68,$J$7:$J$307,0)</f>
        <v>79</v>
      </c>
      <c r="T68" s="4" t="str">
        <f aca="false">IF(O68&lt;0.05,"YES","no")</f>
        <v>no</v>
      </c>
      <c r="U68" s="4" t="str">
        <f aca="false">IF(P68&lt;0.05,"YES","no")</f>
        <v>no</v>
      </c>
      <c r="V68" s="4" t="str">
        <f aca="false">IF(N68&gt;1,"YES","no")</f>
        <v>no</v>
      </c>
    </row>
    <row r="69" customFormat="false" ht="15" hidden="false" customHeight="false" outlineLevel="0" collapsed="false">
      <c r="A69" s="4" t="s">
        <v>75</v>
      </c>
      <c r="B69" s="4"/>
      <c r="C69" s="4" t="s">
        <v>61</v>
      </c>
      <c r="D69" s="8" t="n">
        <v>348.07036</v>
      </c>
      <c r="E69" s="9" t="n">
        <v>9.071</v>
      </c>
      <c r="F69" s="10" t="n">
        <v>108603470.363066</v>
      </c>
      <c r="G69" s="10" t="n">
        <v>41235866.239223</v>
      </c>
      <c r="H69" s="10" t="n">
        <v>115055513.631661</v>
      </c>
      <c r="I69" s="10" t="n">
        <v>68239706.7147865</v>
      </c>
      <c r="J69" s="10" t="n">
        <v>111829491.997364</v>
      </c>
      <c r="K69" s="11" t="n">
        <v>1.05940918137354</v>
      </c>
      <c r="L69" s="11" t="n">
        <v>0.0832599169239518</v>
      </c>
      <c r="M69" s="11" t="n">
        <v>0.0625595221546069</v>
      </c>
      <c r="N69" s="11" t="n">
        <v>0.719274751437801</v>
      </c>
      <c r="O69" s="12" t="n">
        <v>0.847687456880937</v>
      </c>
      <c r="P69" s="12" t="n">
        <v>0.911264016147008</v>
      </c>
      <c r="Q69" s="4" t="n">
        <f aca="false">RANK(N69,$N$7:$N$307,0)</f>
        <v>63</v>
      </c>
      <c r="R69" s="4" t="n">
        <f aca="false">RANK(O69,$O$7:$O$307,1)</f>
        <v>280</v>
      </c>
      <c r="S69" s="4" t="n">
        <f aca="false">RANK(J69,$J$7:$J$307,0)</f>
        <v>16</v>
      </c>
      <c r="T69" s="4" t="str">
        <f aca="false">IF(O69&lt;0.05,"YES","no")</f>
        <v>no</v>
      </c>
      <c r="U69" s="4" t="str">
        <f aca="false">IF(P69&lt;0.05,"YES","no")</f>
        <v>no</v>
      </c>
      <c r="V69" s="4" t="str">
        <f aca="false">IF(N69&gt;1,"YES","no")</f>
        <v>no</v>
      </c>
    </row>
    <row r="70" customFormat="false" ht="15" hidden="false" customHeight="false" outlineLevel="0" collapsed="false">
      <c r="A70" s="4" t="s">
        <v>190</v>
      </c>
      <c r="B70" s="4" t="s">
        <v>191</v>
      </c>
      <c r="C70" s="4" t="s">
        <v>61</v>
      </c>
      <c r="D70" s="8" t="n">
        <v>244.09276</v>
      </c>
      <c r="E70" s="9" t="n">
        <v>9.689</v>
      </c>
      <c r="F70" s="10" t="n">
        <v>3544481.81601602</v>
      </c>
      <c r="G70" s="10" t="n">
        <v>3011889.59816439</v>
      </c>
      <c r="H70" s="10" t="n">
        <v>11276332.3049218</v>
      </c>
      <c r="I70" s="10" t="n">
        <v>4616587.2877495</v>
      </c>
      <c r="J70" s="10" t="n">
        <v>7410407.0604689</v>
      </c>
      <c r="K70" s="11" t="n">
        <v>3.18137682466553</v>
      </c>
      <c r="L70" s="11" t="n">
        <v>1.66965126495461</v>
      </c>
      <c r="M70" s="11" t="n">
        <v>0.73579262781319</v>
      </c>
      <c r="N70" s="11" t="n">
        <v>0.714918302357267</v>
      </c>
      <c r="O70" s="12" t="n">
        <v>0.0079556915550383</v>
      </c>
      <c r="P70" s="12" t="n">
        <v>0.0488706766952353</v>
      </c>
      <c r="Q70" s="4" t="n">
        <f aca="false">RANK(N70,$N$7:$N$307,0)</f>
        <v>64</v>
      </c>
      <c r="R70" s="4" t="n">
        <f aca="false">RANK(O70,$O$7:$O$307,1)</f>
        <v>49</v>
      </c>
      <c r="S70" s="4" t="n">
        <f aca="false">RANK(J70,$J$7:$J$307,0)</f>
        <v>90</v>
      </c>
      <c r="T70" s="4" t="str">
        <f aca="false">IF(O70&lt;0.05,"YES","no")</f>
        <v>YES</v>
      </c>
      <c r="U70" s="4" t="str">
        <f aca="false">IF(P70&lt;0.05,"YES","no")</f>
        <v>YES</v>
      </c>
      <c r="V70" s="4" t="str">
        <f aca="false">IF(N70&gt;1,"YES","no")</f>
        <v>no</v>
      </c>
    </row>
    <row r="71" customFormat="false" ht="15" hidden="false" customHeight="false" outlineLevel="0" collapsed="false">
      <c r="A71" s="4" t="s">
        <v>222</v>
      </c>
      <c r="B71" s="4"/>
      <c r="C71" s="4" t="s">
        <v>61</v>
      </c>
      <c r="D71" s="8" t="n">
        <v>665.215</v>
      </c>
      <c r="E71" s="9" t="n">
        <v>11.713</v>
      </c>
      <c r="F71" s="10" t="n">
        <v>1313953.28155593</v>
      </c>
      <c r="G71" s="10" t="n">
        <v>1590741.49771371</v>
      </c>
      <c r="H71" s="10" t="n">
        <v>8539736.30507836</v>
      </c>
      <c r="I71" s="10" t="n">
        <v>6264416.11738111</v>
      </c>
      <c r="J71" s="10" t="n">
        <v>4926844.79331715</v>
      </c>
      <c r="K71" s="11" t="n">
        <v>6.49926936136263</v>
      </c>
      <c r="L71" s="11" t="n">
        <v>2.70027754152783</v>
      </c>
      <c r="M71" s="11" t="n">
        <v>0.654636585304579</v>
      </c>
      <c r="N71" s="11" t="n">
        <v>0.714759575860708</v>
      </c>
      <c r="O71" s="12" t="n">
        <v>0.0360067255490874</v>
      </c>
      <c r="P71" s="12" t="n">
        <v>0.103037598643019</v>
      </c>
      <c r="Q71" s="4" t="n">
        <f aca="false">RANK(N71,$N$7:$N$307,0)</f>
        <v>65</v>
      </c>
      <c r="R71" s="4" t="n">
        <f aca="false">RANK(O71,$O$7:$O$307,1)</f>
        <v>104</v>
      </c>
      <c r="S71" s="4" t="n">
        <f aca="false">RANK(J71,$J$7:$J$307,0)</f>
        <v>107</v>
      </c>
      <c r="T71" s="4" t="str">
        <f aca="false">IF(O71&lt;0.05,"YES","no")</f>
        <v>YES</v>
      </c>
      <c r="U71" s="4" t="str">
        <f aca="false">IF(P71&lt;0.05,"YES","no")</f>
        <v>no</v>
      </c>
      <c r="V71" s="4" t="str">
        <f aca="false">IF(N71&gt;1,"YES","no")</f>
        <v>no</v>
      </c>
    </row>
    <row r="72" customFormat="false" ht="15" hidden="false" customHeight="false" outlineLevel="0" collapsed="false">
      <c r="A72" s="4" t="s">
        <v>130</v>
      </c>
      <c r="B72" s="4"/>
      <c r="C72" s="4" t="s">
        <v>72</v>
      </c>
      <c r="D72" s="8" t="n">
        <v>220.11791</v>
      </c>
      <c r="E72" s="9" t="n">
        <v>5.093</v>
      </c>
      <c r="F72" s="10" t="n">
        <v>8593261.73381886</v>
      </c>
      <c r="G72" s="10" t="n">
        <v>2874408.36024627</v>
      </c>
      <c r="H72" s="10" t="n">
        <v>17944778.0743274</v>
      </c>
      <c r="I72" s="10" t="n">
        <v>12595302.8007408</v>
      </c>
      <c r="J72" s="10" t="n">
        <v>13269019.9040731</v>
      </c>
      <c r="K72" s="11" t="n">
        <v>2.08823827670761</v>
      </c>
      <c r="L72" s="11" t="n">
        <v>1.06228633882898</v>
      </c>
      <c r="M72" s="11" t="n">
        <v>0.489062877045928</v>
      </c>
      <c r="N72" s="11" t="n">
        <v>0.686036970087275</v>
      </c>
      <c r="O72" s="12" t="n">
        <v>0.130877099944008</v>
      </c>
      <c r="P72" s="12" t="n">
        <v>0.227711023602003</v>
      </c>
      <c r="Q72" s="4" t="n">
        <f aca="false">RANK(N72,$N$7:$N$307,0)</f>
        <v>66</v>
      </c>
      <c r="R72" s="4" t="n">
        <f aca="false">RANK(O72,$O$7:$O$307,1)</f>
        <v>173</v>
      </c>
      <c r="S72" s="4" t="n">
        <f aca="false">RANK(J72,$J$7:$J$307,0)</f>
        <v>71</v>
      </c>
      <c r="T72" s="4" t="str">
        <f aca="false">IF(O72&lt;0.05,"YES","no")</f>
        <v>no</v>
      </c>
      <c r="U72" s="4" t="str">
        <f aca="false">IF(P72&lt;0.05,"YES","no")</f>
        <v>no</v>
      </c>
      <c r="V72" s="4" t="str">
        <f aca="false">IF(N72&gt;1,"YES","no")</f>
        <v>no</v>
      </c>
    </row>
    <row r="73" customFormat="false" ht="15" hidden="false" customHeight="false" outlineLevel="0" collapsed="false">
      <c r="A73" s="4" t="s">
        <v>229</v>
      </c>
      <c r="B73" s="4"/>
      <c r="C73" s="4" t="s">
        <v>61</v>
      </c>
      <c r="D73" s="8" t="n">
        <v>259.02211</v>
      </c>
      <c r="E73" s="9" t="n">
        <v>10.095</v>
      </c>
      <c r="F73" s="10" t="n">
        <v>2271667.85718529</v>
      </c>
      <c r="G73" s="10" t="n">
        <v>2082200.20461868</v>
      </c>
      <c r="H73" s="10" t="n">
        <v>9523731.83549761</v>
      </c>
      <c r="I73" s="10" t="n">
        <v>5881623.59202058</v>
      </c>
      <c r="J73" s="10" t="n">
        <v>5897699.84634145</v>
      </c>
      <c r="K73" s="11" t="n">
        <v>4.19239626311303</v>
      </c>
      <c r="L73" s="11" t="n">
        <v>2.06777508610471</v>
      </c>
      <c r="M73" s="11" t="n">
        <v>0.669099030343458</v>
      </c>
      <c r="N73" s="11" t="n">
        <v>0.674118772152584</v>
      </c>
      <c r="O73" s="12" t="n">
        <v>0.0280891003983538</v>
      </c>
      <c r="P73" s="12" t="n">
        <v>0.0904285938393615</v>
      </c>
      <c r="Q73" s="4" t="n">
        <f aca="false">RANK(N73,$N$7:$N$307,0)</f>
        <v>67</v>
      </c>
      <c r="R73" s="4" t="n">
        <f aca="false">RANK(O73,$O$7:$O$307,1)</f>
        <v>93</v>
      </c>
      <c r="S73" s="4" t="n">
        <f aca="false">RANK(J73,$J$7:$J$307,0)</f>
        <v>96</v>
      </c>
      <c r="T73" s="4" t="str">
        <f aca="false">IF(O73&lt;0.05,"YES","no")</f>
        <v>YES</v>
      </c>
      <c r="U73" s="4" t="str">
        <f aca="false">IF(P73&lt;0.05,"YES","no")</f>
        <v>no</v>
      </c>
      <c r="V73" s="4" t="str">
        <f aca="false">IF(N73&gt;1,"YES","no")</f>
        <v>no</v>
      </c>
    </row>
    <row r="74" customFormat="false" ht="15" hidden="false" customHeight="false" outlineLevel="0" collapsed="false">
      <c r="A74" s="4" t="s">
        <v>207</v>
      </c>
      <c r="B74" s="4"/>
      <c r="C74" s="4" t="s">
        <v>61</v>
      </c>
      <c r="D74" s="8" t="n">
        <v>243.06218</v>
      </c>
      <c r="E74" s="9" t="n">
        <v>8.36</v>
      </c>
      <c r="F74" s="10" t="n">
        <v>2973815.53423626</v>
      </c>
      <c r="G74" s="10" t="n">
        <v>868570.539059235</v>
      </c>
      <c r="H74" s="10" t="n">
        <v>8648922.99300724</v>
      </c>
      <c r="I74" s="10" t="n">
        <v>3338094.35067012</v>
      </c>
      <c r="J74" s="10" t="n">
        <v>5811369.26362175</v>
      </c>
      <c r="K74" s="11" t="n">
        <v>2.90835893936121</v>
      </c>
      <c r="L74" s="11" t="n">
        <v>1.54020533255878</v>
      </c>
      <c r="M74" s="11" t="n">
        <v>0.786726101798309</v>
      </c>
      <c r="N74" s="11" t="n">
        <v>0.649640353452664</v>
      </c>
      <c r="O74" s="12" t="n">
        <v>0.00772258021756093</v>
      </c>
      <c r="P74" s="12" t="n">
        <v>0.0484270134476217</v>
      </c>
      <c r="Q74" s="4" t="n">
        <f aca="false">RANK(N74,$N$7:$N$307,0)</f>
        <v>68</v>
      </c>
      <c r="R74" s="4" t="n">
        <f aca="false">RANK(O74,$O$7:$O$307,1)</f>
        <v>48</v>
      </c>
      <c r="S74" s="4" t="n">
        <f aca="false">RANK(J74,$J$7:$J$307,0)</f>
        <v>97</v>
      </c>
      <c r="T74" s="4" t="str">
        <f aca="false">IF(O74&lt;0.05,"YES","no")</f>
        <v>YES</v>
      </c>
      <c r="U74" s="4" t="str">
        <f aca="false">IF(P74&lt;0.05,"YES","no")</f>
        <v>YES</v>
      </c>
      <c r="V74" s="4" t="str">
        <f aca="false">IF(N74&gt;1,"YES","no")</f>
        <v>no</v>
      </c>
    </row>
    <row r="75" customFormat="false" ht="15" hidden="false" customHeight="false" outlineLevel="0" collapsed="false">
      <c r="A75" s="4" t="s">
        <v>183</v>
      </c>
      <c r="B75" s="4"/>
      <c r="C75" s="4" t="s">
        <v>72</v>
      </c>
      <c r="D75" s="8" t="n">
        <v>496.33971</v>
      </c>
      <c r="E75" s="9" t="n">
        <v>4.961</v>
      </c>
      <c r="F75" s="10" t="n">
        <v>87912740.6538923</v>
      </c>
      <c r="G75" s="10" t="n">
        <v>14767280.7400464</v>
      </c>
      <c r="H75" s="10" t="n">
        <v>78495202.4712215</v>
      </c>
      <c r="I75" s="10" t="n">
        <v>24394065.072663</v>
      </c>
      <c r="J75" s="10" t="n">
        <v>83203971.5625569</v>
      </c>
      <c r="K75" s="11" t="n">
        <v>0.892876298558964</v>
      </c>
      <c r="L75" s="11" t="n">
        <v>-0.16346778047856</v>
      </c>
      <c r="M75" s="11" t="n">
        <v>0.247836101459423</v>
      </c>
      <c r="N75" s="11" t="n">
        <v>0.647937194068971</v>
      </c>
      <c r="O75" s="12" t="n">
        <v>0.441290815382879</v>
      </c>
      <c r="P75" s="12" t="n">
        <v>0.55345223095936</v>
      </c>
      <c r="Q75" s="4" t="n">
        <f aca="false">RANK(N75,$N$7:$N$307,0)</f>
        <v>69</v>
      </c>
      <c r="R75" s="4" t="n">
        <f aca="false">RANK(O75,$O$7:$O$307,1)</f>
        <v>240</v>
      </c>
      <c r="S75" s="4" t="n">
        <f aca="false">RANK(J75,$J$7:$J$307,0)</f>
        <v>24</v>
      </c>
      <c r="T75" s="4" t="str">
        <f aca="false">IF(O75&lt;0.05,"YES","no")</f>
        <v>no</v>
      </c>
      <c r="U75" s="4" t="str">
        <f aca="false">IF(P75&lt;0.05,"YES","no")</f>
        <v>no</v>
      </c>
      <c r="V75" s="4" t="str">
        <f aca="false">IF(N75&gt;1,"YES","no")</f>
        <v>no</v>
      </c>
    </row>
    <row r="76" customFormat="false" ht="15" hidden="false" customHeight="false" outlineLevel="0" collapsed="false">
      <c r="A76" s="4" t="s">
        <v>181</v>
      </c>
      <c r="B76" s="4"/>
      <c r="C76" s="4" t="s">
        <v>72</v>
      </c>
      <c r="D76" s="8" t="n">
        <v>103.03887</v>
      </c>
      <c r="E76" s="9" t="n">
        <v>11.251</v>
      </c>
      <c r="F76" s="10" t="n">
        <v>8113421.83346856</v>
      </c>
      <c r="G76" s="10" t="n">
        <v>1052373.84154096</v>
      </c>
      <c r="H76" s="10" t="n">
        <v>12819815.4413902</v>
      </c>
      <c r="I76" s="10" t="n">
        <v>1695785.31652895</v>
      </c>
      <c r="J76" s="10" t="n">
        <v>10466618.6374294</v>
      </c>
      <c r="K76" s="11" t="n">
        <v>1.58007505396888</v>
      </c>
      <c r="L76" s="11" t="n">
        <v>0.659993088413139</v>
      </c>
      <c r="M76" s="11" t="n">
        <v>0.877155675420482</v>
      </c>
      <c r="N76" s="11" t="n">
        <v>0.638983361042332</v>
      </c>
      <c r="O76" s="12" t="n">
        <v>0.000354124053957612</v>
      </c>
      <c r="P76" s="12" t="n">
        <v>0.0201401215916247</v>
      </c>
      <c r="Q76" s="4" t="n">
        <f aca="false">RANK(N76,$N$7:$N$307,0)</f>
        <v>70</v>
      </c>
      <c r="R76" s="4" t="n">
        <f aca="false">RANK(O76,$O$7:$O$307,1)</f>
        <v>4</v>
      </c>
      <c r="S76" s="4" t="n">
        <f aca="false">RANK(J76,$J$7:$J$307,0)</f>
        <v>80</v>
      </c>
      <c r="T76" s="4" t="str">
        <f aca="false">IF(O76&lt;0.05,"YES","no")</f>
        <v>YES</v>
      </c>
      <c r="U76" s="4" t="str">
        <f aca="false">IF(P76&lt;0.05,"YES","no")</f>
        <v>YES</v>
      </c>
      <c r="V76" s="4" t="str">
        <f aca="false">IF(N76&gt;1,"YES","no")</f>
        <v>no</v>
      </c>
    </row>
    <row r="77" customFormat="false" ht="15" hidden="false" customHeight="false" outlineLevel="0" collapsed="false">
      <c r="A77" s="4" t="s">
        <v>135</v>
      </c>
      <c r="B77" s="4"/>
      <c r="C77" s="4" t="s">
        <v>61</v>
      </c>
      <c r="D77" s="8" t="n">
        <v>118.06106</v>
      </c>
      <c r="E77" s="9" t="n">
        <v>11.849</v>
      </c>
      <c r="F77" s="10" t="n">
        <v>10585729.0961941</v>
      </c>
      <c r="G77" s="10" t="n">
        <v>2545795.12697442</v>
      </c>
      <c r="H77" s="10" t="n">
        <v>16101000.470113</v>
      </c>
      <c r="I77" s="10" t="n">
        <v>2542271.38509014</v>
      </c>
      <c r="J77" s="10" t="n">
        <v>13343364.7831536</v>
      </c>
      <c r="K77" s="11" t="n">
        <v>1.52101006211295</v>
      </c>
      <c r="L77" s="11" t="n">
        <v>0.605029697120552</v>
      </c>
      <c r="M77" s="11" t="n">
        <v>0.764890010400041</v>
      </c>
      <c r="N77" s="11" t="n">
        <v>0.630289840762549</v>
      </c>
      <c r="O77" s="12" t="n">
        <v>0.00375314986358376</v>
      </c>
      <c r="P77" s="12" t="n">
        <v>0.0341228036302566</v>
      </c>
      <c r="Q77" s="4" t="n">
        <f aca="false">RANK(N77,$N$7:$N$307,0)</f>
        <v>71</v>
      </c>
      <c r="R77" s="4" t="n">
        <f aca="false">RANK(O77,$O$7:$O$307,1)</f>
        <v>33</v>
      </c>
      <c r="S77" s="4" t="n">
        <f aca="false">RANK(J77,$J$7:$J$307,0)</f>
        <v>70</v>
      </c>
      <c r="T77" s="4" t="str">
        <f aca="false">IF(O77&lt;0.05,"YES","no")</f>
        <v>YES</v>
      </c>
      <c r="U77" s="4" t="str">
        <f aca="false">IF(P77&lt;0.05,"YES","no")</f>
        <v>YES</v>
      </c>
      <c r="V77" s="4" t="str">
        <f aca="false">IF(N77&gt;1,"YES","no")</f>
        <v>no</v>
      </c>
    </row>
    <row r="78" customFormat="false" ht="15" hidden="false" customHeight="false" outlineLevel="0" collapsed="false">
      <c r="A78" s="4" t="s">
        <v>152</v>
      </c>
      <c r="B78" s="4" t="s">
        <v>153</v>
      </c>
      <c r="C78" s="4" t="s">
        <v>61</v>
      </c>
      <c r="D78" s="8" t="n">
        <v>133.09704</v>
      </c>
      <c r="E78" s="9" t="n">
        <v>17</v>
      </c>
      <c r="F78" s="10" t="n">
        <v>14938529.6141376</v>
      </c>
      <c r="G78" s="10" t="n">
        <v>7874348.64398357</v>
      </c>
      <c r="H78" s="10" t="n">
        <v>21537335.8802005</v>
      </c>
      <c r="I78" s="10" t="n">
        <v>4652088.71223385</v>
      </c>
      <c r="J78" s="10" t="n">
        <v>18237932.747169</v>
      </c>
      <c r="K78" s="11" t="n">
        <v>1.44173064126859</v>
      </c>
      <c r="L78" s="11" t="n">
        <v>0.527801650844277</v>
      </c>
      <c r="M78" s="11" t="n">
        <v>0.487855909696901</v>
      </c>
      <c r="N78" s="11" t="n">
        <v>0.613351573461451</v>
      </c>
      <c r="O78" s="12" t="n">
        <v>0.11464013479401</v>
      </c>
      <c r="P78" s="12" t="n">
        <v>0.214327208527933</v>
      </c>
      <c r="Q78" s="4" t="n">
        <f aca="false">RANK(N78,$N$7:$N$307,0)</f>
        <v>72</v>
      </c>
      <c r="R78" s="4" t="n">
        <f aca="false">RANK(O78,$O$7:$O$307,1)</f>
        <v>161</v>
      </c>
      <c r="S78" s="4" t="n">
        <f aca="false">RANK(J78,$J$7:$J$307,0)</f>
        <v>58</v>
      </c>
      <c r="T78" s="4" t="str">
        <f aca="false">IF(O78&lt;0.05,"YES","no")</f>
        <v>no</v>
      </c>
      <c r="U78" s="4" t="str">
        <f aca="false">IF(P78&lt;0.05,"YES","no")</f>
        <v>no</v>
      </c>
      <c r="V78" s="4" t="str">
        <f aca="false">IF(N78&gt;1,"YES","no")</f>
        <v>no</v>
      </c>
    </row>
    <row r="79" customFormat="false" ht="15" hidden="false" customHeight="false" outlineLevel="0" collapsed="false">
      <c r="A79" s="4" t="s">
        <v>139</v>
      </c>
      <c r="B79" s="4"/>
      <c r="C79" s="4" t="s">
        <v>61</v>
      </c>
      <c r="D79" s="8" t="n">
        <v>174.04077</v>
      </c>
      <c r="E79" s="9" t="n">
        <v>9.006</v>
      </c>
      <c r="F79" s="10" t="n">
        <v>9901011.74209755</v>
      </c>
      <c r="G79" s="10" t="n">
        <v>5330182.2634434</v>
      </c>
      <c r="H79" s="10" t="n">
        <v>17102454.5600688</v>
      </c>
      <c r="I79" s="10" t="n">
        <v>6990088.42615621</v>
      </c>
      <c r="J79" s="10" t="n">
        <v>13501733.1510832</v>
      </c>
      <c r="K79" s="11" t="n">
        <v>1.72734413467583</v>
      </c>
      <c r="L79" s="11" t="n">
        <v>0.78855553621399</v>
      </c>
      <c r="M79" s="11" t="n">
        <v>0.535800661570195</v>
      </c>
      <c r="N79" s="11" t="n">
        <v>0.608766475327696</v>
      </c>
      <c r="O79" s="12" t="n">
        <v>0.0745617875366574</v>
      </c>
      <c r="P79" s="12" t="n">
        <v>0.161461137039812</v>
      </c>
      <c r="Q79" s="4" t="n">
        <f aca="false">RANK(N79,$N$7:$N$307,0)</f>
        <v>73</v>
      </c>
      <c r="R79" s="4" t="n">
        <f aca="false">RANK(O79,$O$7:$O$307,1)</f>
        <v>139</v>
      </c>
      <c r="S79" s="4" t="n">
        <f aca="false">RANK(J79,$J$7:$J$307,0)</f>
        <v>69</v>
      </c>
      <c r="T79" s="4" t="str">
        <f aca="false">IF(O79&lt;0.05,"YES","no")</f>
        <v>no</v>
      </c>
      <c r="U79" s="4" t="str">
        <f aca="false">IF(P79&lt;0.05,"YES","no")</f>
        <v>no</v>
      </c>
      <c r="V79" s="4" t="str">
        <f aca="false">IF(N79&gt;1,"YES","no")</f>
        <v>no</v>
      </c>
    </row>
    <row r="80" customFormat="false" ht="15" hidden="false" customHeight="false" outlineLevel="0" collapsed="false">
      <c r="A80" s="4" t="s">
        <v>257</v>
      </c>
      <c r="B80" s="4"/>
      <c r="C80" s="4" t="s">
        <v>72</v>
      </c>
      <c r="D80" s="8" t="n">
        <v>109.02835</v>
      </c>
      <c r="E80" s="9" t="n">
        <v>9.916</v>
      </c>
      <c r="F80" s="10" t="n">
        <v>1050753.57506409</v>
      </c>
      <c r="G80" s="10" t="n">
        <v>1201393.5920569</v>
      </c>
      <c r="H80" s="10" t="n">
        <v>6635087.84451443</v>
      </c>
      <c r="I80" s="10" t="n">
        <v>4663596.0238688</v>
      </c>
      <c r="J80" s="10" t="n">
        <v>3842920.70978926</v>
      </c>
      <c r="K80" s="11" t="n">
        <v>6.3145993522884</v>
      </c>
      <c r="L80" s="11" t="n">
        <v>2.65869120102738</v>
      </c>
      <c r="M80" s="11" t="n">
        <v>0.668224923653798</v>
      </c>
      <c r="N80" s="11" t="n">
        <v>0.597950899123436</v>
      </c>
      <c r="O80" s="12" t="n">
        <v>0.0315146608351212</v>
      </c>
      <c r="P80" s="12" t="n">
        <v>0.0967950297078721</v>
      </c>
      <c r="Q80" s="4" t="n">
        <f aca="false">RANK(N80,$N$7:$N$307,0)</f>
        <v>74</v>
      </c>
      <c r="R80" s="4" t="n">
        <f aca="false">RANK(O80,$O$7:$O$307,1)</f>
        <v>98</v>
      </c>
      <c r="S80" s="4" t="n">
        <f aca="false">RANK(J80,$J$7:$J$307,0)</f>
        <v>115</v>
      </c>
      <c r="T80" s="4" t="str">
        <f aca="false">IF(O80&lt;0.05,"YES","no")</f>
        <v>YES</v>
      </c>
      <c r="U80" s="4" t="str">
        <f aca="false">IF(P80&lt;0.05,"YES","no")</f>
        <v>no</v>
      </c>
      <c r="V80" s="4" t="str">
        <f aca="false">IF(N80&gt;1,"YES","no")</f>
        <v>no</v>
      </c>
    </row>
    <row r="81" customFormat="false" ht="15" hidden="false" customHeight="false" outlineLevel="0" collapsed="false">
      <c r="A81" s="4" t="s">
        <v>145</v>
      </c>
      <c r="B81" s="4"/>
      <c r="C81" s="4" t="s">
        <v>61</v>
      </c>
      <c r="D81" s="8" t="n">
        <v>167.02115</v>
      </c>
      <c r="E81" s="9" t="n">
        <v>8.643</v>
      </c>
      <c r="F81" s="10" t="n">
        <v>12653857.3101237</v>
      </c>
      <c r="G81" s="10" t="n">
        <v>10019662.0202329</v>
      </c>
      <c r="H81" s="10" t="n">
        <v>15581340.0381553</v>
      </c>
      <c r="I81" s="10" t="n">
        <v>2821846.20554126</v>
      </c>
      <c r="J81" s="10" t="n">
        <v>14117598.6741395</v>
      </c>
      <c r="K81" s="11" t="n">
        <v>1.23135101465775</v>
      </c>
      <c r="L81" s="11" t="n">
        <v>0.300242081822187</v>
      </c>
      <c r="M81" s="11" t="n">
        <v>0.212850579369109</v>
      </c>
      <c r="N81" s="11" t="n">
        <v>0.5970398256448</v>
      </c>
      <c r="O81" s="12" t="n">
        <v>0.517543897039761</v>
      </c>
      <c r="P81" s="12" t="n">
        <v>0.625625353449672</v>
      </c>
      <c r="Q81" s="4" t="n">
        <f aca="false">RANK(N81,$N$7:$N$307,0)</f>
        <v>75</v>
      </c>
      <c r="R81" s="4" t="n">
        <f aca="false">RANK(O81,$O$7:$O$307,1)</f>
        <v>249</v>
      </c>
      <c r="S81" s="4" t="n">
        <f aca="false">RANK(J81,$J$7:$J$307,0)</f>
        <v>68</v>
      </c>
      <c r="T81" s="4" t="str">
        <f aca="false">IF(O81&lt;0.05,"YES","no")</f>
        <v>no</v>
      </c>
      <c r="U81" s="4" t="str">
        <f aca="false">IF(P81&lt;0.05,"YES","no")</f>
        <v>no</v>
      </c>
      <c r="V81" s="4" t="str">
        <f aca="false">IF(N81&gt;1,"YES","no")</f>
        <v>no</v>
      </c>
    </row>
    <row r="82" customFormat="false" ht="15" hidden="false" customHeight="false" outlineLevel="0" collapsed="false">
      <c r="A82" s="4" t="s">
        <v>134</v>
      </c>
      <c r="B82" s="4"/>
      <c r="C82" s="4" t="s">
        <v>72</v>
      </c>
      <c r="D82" s="8" t="n">
        <v>426.02204</v>
      </c>
      <c r="E82" s="9" t="n">
        <v>9.694</v>
      </c>
      <c r="F82" s="10" t="n">
        <v>4045455.75967338</v>
      </c>
      <c r="G82" s="10" t="n">
        <v>3218995.70463655</v>
      </c>
      <c r="H82" s="10" t="n">
        <v>1845244.37125952</v>
      </c>
      <c r="I82" s="10" t="n">
        <v>2544678.54504575</v>
      </c>
      <c r="J82" s="10" t="n">
        <v>2945350.06546645</v>
      </c>
      <c r="K82" s="11" t="n">
        <v>0.456127685205116</v>
      </c>
      <c r="L82" s="11" t="n">
        <v>-1.13249035596563</v>
      </c>
      <c r="M82" s="11" t="n">
        <v>0.383571009827495</v>
      </c>
      <c r="N82" s="11" t="n">
        <v>0.580419791407676</v>
      </c>
      <c r="O82" s="12" t="n">
        <v>0.21989514216966</v>
      </c>
      <c r="P82" s="12" t="n">
        <v>0.337696111189121</v>
      </c>
      <c r="Q82" s="4" t="n">
        <f aca="false">RANK(N82,$N$7:$N$307,0)</f>
        <v>76</v>
      </c>
      <c r="R82" s="4" t="n">
        <f aca="false">RANK(O82,$O$7:$O$307,1)</f>
        <v>196</v>
      </c>
      <c r="S82" s="4" t="n">
        <f aca="false">RANK(J82,$J$7:$J$307,0)</f>
        <v>124</v>
      </c>
      <c r="T82" s="4" t="str">
        <f aca="false">IF(O82&lt;0.05,"YES","no")</f>
        <v>no</v>
      </c>
      <c r="U82" s="4" t="str">
        <f aca="false">IF(P82&lt;0.05,"YES","no")</f>
        <v>no</v>
      </c>
      <c r="V82" s="4" t="str">
        <f aca="false">IF(N82&gt;1,"YES","no")</f>
        <v>no</v>
      </c>
    </row>
    <row r="83" customFormat="false" ht="15" hidden="false" customHeight="false" outlineLevel="0" collapsed="false">
      <c r="A83" s="4" t="s">
        <v>185</v>
      </c>
      <c r="B83" s="4"/>
      <c r="C83" s="4" t="s">
        <v>61</v>
      </c>
      <c r="D83" s="8" t="n">
        <v>134.04474</v>
      </c>
      <c r="E83" s="9" t="n">
        <v>9.92</v>
      </c>
      <c r="F83" s="10" t="n">
        <v>10621263.353589</v>
      </c>
      <c r="G83" s="10" t="n">
        <v>5366803.15398627</v>
      </c>
      <c r="H83" s="10" t="n">
        <v>18430652.882844</v>
      </c>
      <c r="I83" s="10" t="n">
        <v>10810148.5464772</v>
      </c>
      <c r="J83" s="10" t="n">
        <v>14525958.1182165</v>
      </c>
      <c r="K83" s="11" t="n">
        <v>1.73525994688911</v>
      </c>
      <c r="L83" s="11" t="n">
        <v>0.795151798824611</v>
      </c>
      <c r="M83" s="11" t="n">
        <v>0.448078786253044</v>
      </c>
      <c r="N83" s="11" t="n">
        <v>0.561593993772822</v>
      </c>
      <c r="O83" s="12" t="n">
        <v>0.155104046639966</v>
      </c>
      <c r="P83" s="12" t="n">
        <v>0.258230314087015</v>
      </c>
      <c r="Q83" s="4" t="n">
        <f aca="false">RANK(N83,$N$7:$N$307,0)</f>
        <v>77</v>
      </c>
      <c r="R83" s="4" t="n">
        <f aca="false">RANK(O83,$O$7:$O$307,1)</f>
        <v>180</v>
      </c>
      <c r="S83" s="4" t="n">
        <f aca="false">RANK(J83,$J$7:$J$307,0)</f>
        <v>65</v>
      </c>
      <c r="T83" s="4" t="str">
        <f aca="false">IF(O83&lt;0.05,"YES","no")</f>
        <v>no</v>
      </c>
      <c r="U83" s="4" t="str">
        <f aca="false">IF(P83&lt;0.05,"YES","no")</f>
        <v>no</v>
      </c>
      <c r="V83" s="4" t="str">
        <f aca="false">IF(N83&gt;1,"YES","no")</f>
        <v>no</v>
      </c>
    </row>
    <row r="84" customFormat="false" ht="15" hidden="false" customHeight="false" outlineLevel="0" collapsed="false">
      <c r="A84" s="4" t="s">
        <v>140</v>
      </c>
      <c r="B84" s="4"/>
      <c r="C84" s="4" t="s">
        <v>61</v>
      </c>
      <c r="D84" s="8" t="n">
        <v>508.00291</v>
      </c>
      <c r="E84" s="9" t="n">
        <v>10.408</v>
      </c>
      <c r="F84" s="10" t="n">
        <v>2692693.22901373</v>
      </c>
      <c r="G84" s="10" t="n">
        <v>3416340.9629753</v>
      </c>
      <c r="H84" s="10" t="n">
        <v>789750.710917143</v>
      </c>
      <c r="I84" s="10" t="n">
        <v>655025.651588244</v>
      </c>
      <c r="J84" s="10" t="n">
        <v>1741221.96996544</v>
      </c>
      <c r="K84" s="11" t="n">
        <v>0.293293978834124</v>
      </c>
      <c r="L84" s="11" t="n">
        <v>-1.76958064123305</v>
      </c>
      <c r="M84" s="11" t="n">
        <v>0.390158662273047</v>
      </c>
      <c r="N84" s="11" t="n">
        <v>0.557163790863021</v>
      </c>
      <c r="O84" s="12" t="n">
        <v>0.234183930799557</v>
      </c>
      <c r="P84" s="12" t="n">
        <v>0.355651619478185</v>
      </c>
      <c r="Q84" s="4" t="n">
        <f aca="false">RANK(N84,$N$7:$N$307,0)</f>
        <v>78</v>
      </c>
      <c r="R84" s="4" t="n">
        <f aca="false">RANK(O84,$O$7:$O$307,1)</f>
        <v>198</v>
      </c>
      <c r="S84" s="4" t="n">
        <f aca="false">RANK(J84,$J$7:$J$307,0)</f>
        <v>146</v>
      </c>
      <c r="T84" s="4" t="str">
        <f aca="false">IF(O84&lt;0.05,"YES","no")</f>
        <v>no</v>
      </c>
      <c r="U84" s="4" t="str">
        <f aca="false">IF(P84&lt;0.05,"YES","no")</f>
        <v>no</v>
      </c>
      <c r="V84" s="4" t="str">
        <f aca="false">IF(N84&gt;1,"YES","no")</f>
        <v>no</v>
      </c>
    </row>
    <row r="85" customFormat="false" ht="15" hidden="false" customHeight="false" outlineLevel="0" collapsed="false">
      <c r="A85" s="4" t="s">
        <v>197</v>
      </c>
      <c r="B85" s="4"/>
      <c r="C85" s="4" t="s">
        <v>61</v>
      </c>
      <c r="D85" s="8" t="n">
        <v>103.04002</v>
      </c>
      <c r="E85" s="9" t="n">
        <v>6.831</v>
      </c>
      <c r="F85" s="10" t="n">
        <v>3443122.40542847</v>
      </c>
      <c r="G85" s="10" t="n">
        <v>2539026.94246313</v>
      </c>
      <c r="H85" s="10" t="n">
        <v>8464552.12704787</v>
      </c>
      <c r="I85" s="10" t="n">
        <v>3662042.81102678</v>
      </c>
      <c r="J85" s="10" t="n">
        <v>5953837.26623817</v>
      </c>
      <c r="K85" s="11" t="n">
        <v>2.45839419292865</v>
      </c>
      <c r="L85" s="11" t="n">
        <v>1.29771626419982</v>
      </c>
      <c r="M85" s="11" t="n">
        <v>0.657590360595836</v>
      </c>
      <c r="N85" s="11" t="n">
        <v>0.545054756199239</v>
      </c>
      <c r="O85" s="12" t="n">
        <v>0.0223197152346981</v>
      </c>
      <c r="P85" s="12" t="n">
        <v>0.0830661947067271</v>
      </c>
      <c r="Q85" s="4" t="n">
        <f aca="false">RANK(N85,$N$7:$N$307,0)</f>
        <v>79</v>
      </c>
      <c r="R85" s="4" t="n">
        <f aca="false">RANK(O85,$O$7:$O$307,1)</f>
        <v>80</v>
      </c>
      <c r="S85" s="4" t="n">
        <f aca="false">RANK(J85,$J$7:$J$307,0)</f>
        <v>94</v>
      </c>
      <c r="T85" s="4" t="str">
        <f aca="false">IF(O85&lt;0.05,"YES","no")</f>
        <v>YES</v>
      </c>
      <c r="U85" s="4" t="str">
        <f aca="false">IF(P85&lt;0.05,"YES","no")</f>
        <v>no</v>
      </c>
      <c r="V85" s="4" t="str">
        <f aca="false">IF(N85&gt;1,"YES","no")</f>
        <v>no</v>
      </c>
    </row>
    <row r="86" customFormat="false" ht="15" hidden="false" customHeight="false" outlineLevel="0" collapsed="false">
      <c r="A86" s="4" t="s">
        <v>169</v>
      </c>
      <c r="B86" s="4"/>
      <c r="C86" s="4" t="s">
        <v>72</v>
      </c>
      <c r="D86" s="8" t="n">
        <v>102.05488</v>
      </c>
      <c r="E86" s="9" t="n">
        <v>10.87</v>
      </c>
      <c r="F86" s="10" t="n">
        <v>3107399.76294993</v>
      </c>
      <c r="G86" s="10" t="n">
        <v>1356054.98709185</v>
      </c>
      <c r="H86" s="10" t="n">
        <v>6747064.3132711</v>
      </c>
      <c r="I86" s="10" t="n">
        <v>852206.754843712</v>
      </c>
      <c r="J86" s="10" t="n">
        <v>4927232.03811052</v>
      </c>
      <c r="K86" s="11" t="n">
        <v>2.17128944711831</v>
      </c>
      <c r="L86" s="11" t="n">
        <v>1.11855205948028</v>
      </c>
      <c r="M86" s="11" t="n">
        <v>0.869490096998924</v>
      </c>
      <c r="N86" s="11" t="n">
        <v>0.541986716827167</v>
      </c>
      <c r="O86" s="12" t="n">
        <v>0.000443335914625873</v>
      </c>
      <c r="P86" s="12" t="n">
        <v>0.0201401215916247</v>
      </c>
      <c r="Q86" s="4" t="n">
        <f aca="false">RANK(N86,$N$7:$N$307,0)</f>
        <v>80</v>
      </c>
      <c r="R86" s="4" t="n">
        <f aca="false">RANK(O86,$O$7:$O$307,1)</f>
        <v>6</v>
      </c>
      <c r="S86" s="4" t="n">
        <f aca="false">RANK(J86,$J$7:$J$307,0)</f>
        <v>106</v>
      </c>
      <c r="T86" s="4" t="str">
        <f aca="false">IF(O86&lt;0.05,"YES","no")</f>
        <v>YES</v>
      </c>
      <c r="U86" s="4" t="str">
        <f aca="false">IF(P86&lt;0.05,"YES","no")</f>
        <v>YES</v>
      </c>
      <c r="V86" s="4" t="str">
        <f aca="false">IF(N86&gt;1,"YES","no")</f>
        <v>no</v>
      </c>
    </row>
    <row r="87" customFormat="false" ht="15" hidden="false" customHeight="false" outlineLevel="0" collapsed="false">
      <c r="A87" s="4" t="s">
        <v>132</v>
      </c>
      <c r="B87" s="4"/>
      <c r="C87" s="4" t="s">
        <v>72</v>
      </c>
      <c r="D87" s="8" t="n">
        <v>119.08541</v>
      </c>
      <c r="E87" s="9" t="n">
        <v>4.064</v>
      </c>
      <c r="F87" s="10" t="n">
        <v>86454199.2170438</v>
      </c>
      <c r="G87" s="10" t="n">
        <v>18642524.6714666</v>
      </c>
      <c r="H87" s="10" t="n">
        <v>98130348.7327021</v>
      </c>
      <c r="I87" s="10" t="n">
        <v>27981735.7866551</v>
      </c>
      <c r="J87" s="10" t="n">
        <v>92292273.9748729</v>
      </c>
      <c r="K87" s="11" t="n">
        <v>1.13505589805239</v>
      </c>
      <c r="L87" s="11" t="n">
        <v>0.182763347610654</v>
      </c>
      <c r="M87" s="11" t="n">
        <v>0.25975654821425</v>
      </c>
      <c r="N87" s="11" t="n">
        <v>0.533822378739823</v>
      </c>
      <c r="O87" s="12" t="n">
        <v>0.4177543957754</v>
      </c>
      <c r="P87" s="12" t="n">
        <v>0.530924971510783</v>
      </c>
      <c r="Q87" s="4" t="n">
        <f aca="false">RANK(N87,$N$7:$N$307,0)</f>
        <v>81</v>
      </c>
      <c r="R87" s="4" t="n">
        <f aca="false">RANK(O87,$O$7:$O$307,1)</f>
        <v>236</v>
      </c>
      <c r="S87" s="4" t="n">
        <f aca="false">RANK(J87,$J$7:$J$307,0)</f>
        <v>19</v>
      </c>
      <c r="T87" s="4" t="str">
        <f aca="false">IF(O87&lt;0.05,"YES","no")</f>
        <v>no</v>
      </c>
      <c r="U87" s="4" t="str">
        <f aca="false">IF(P87&lt;0.05,"YES","no")</f>
        <v>no</v>
      </c>
      <c r="V87" s="4" t="str">
        <f aca="false">IF(N87&gt;1,"YES","no")</f>
        <v>no</v>
      </c>
    </row>
    <row r="88" customFormat="false" ht="15" hidden="false" customHeight="false" outlineLevel="0" collapsed="false">
      <c r="A88" s="4" t="s">
        <v>166</v>
      </c>
      <c r="B88" s="4"/>
      <c r="C88" s="4" t="s">
        <v>72</v>
      </c>
      <c r="D88" s="8" t="n">
        <v>149.06073</v>
      </c>
      <c r="E88" s="9" t="n">
        <v>4.849</v>
      </c>
      <c r="F88" s="10" t="n">
        <v>12230188.4115787</v>
      </c>
      <c r="G88" s="10" t="n">
        <v>4522505.33393511</v>
      </c>
      <c r="H88" s="10" t="n">
        <v>17545393.5729202</v>
      </c>
      <c r="I88" s="10" t="n">
        <v>3578937.64087941</v>
      </c>
      <c r="J88" s="10" t="n">
        <v>14887790.9922494</v>
      </c>
      <c r="K88" s="11" t="n">
        <v>1.43459716093249</v>
      </c>
      <c r="L88" s="11" t="n">
        <v>0.520645680792946</v>
      </c>
      <c r="M88" s="11" t="n">
        <v>0.581017083557506</v>
      </c>
      <c r="N88" s="11" t="n">
        <v>0.533263964906867</v>
      </c>
      <c r="O88" s="12" t="n">
        <v>0.0489056329078092</v>
      </c>
      <c r="P88" s="12" t="n">
        <v>0.12613699915365</v>
      </c>
      <c r="Q88" s="4" t="n">
        <f aca="false">RANK(N88,$N$7:$N$307,0)</f>
        <v>82</v>
      </c>
      <c r="R88" s="4" t="n">
        <f aca="false">RANK(O88,$O$7:$O$307,1)</f>
        <v>116</v>
      </c>
      <c r="S88" s="4" t="n">
        <f aca="false">RANK(J88,$J$7:$J$307,0)</f>
        <v>63</v>
      </c>
      <c r="T88" s="4" t="str">
        <f aca="false">IF(O88&lt;0.05,"YES","no")</f>
        <v>YES</v>
      </c>
      <c r="U88" s="4" t="str">
        <f aca="false">IF(P88&lt;0.05,"YES","no")</f>
        <v>no</v>
      </c>
      <c r="V88" s="4" t="str">
        <f aca="false">IF(N88&gt;1,"YES","no")</f>
        <v>no</v>
      </c>
    </row>
    <row r="89" customFormat="false" ht="15" hidden="false" customHeight="false" outlineLevel="0" collapsed="false">
      <c r="A89" s="4" t="s">
        <v>143</v>
      </c>
      <c r="B89" s="4"/>
      <c r="C89" s="4" t="s">
        <v>61</v>
      </c>
      <c r="D89" s="8" t="n">
        <v>104.03524</v>
      </c>
      <c r="E89" s="9" t="n">
        <v>11.442</v>
      </c>
      <c r="F89" s="10" t="n">
        <v>9445701.47809681</v>
      </c>
      <c r="G89" s="10" t="n">
        <v>2845878.08741766</v>
      </c>
      <c r="H89" s="10" t="n">
        <v>13987245.1111144</v>
      </c>
      <c r="I89" s="10" t="n">
        <v>2687288.92145049</v>
      </c>
      <c r="J89" s="10" t="n">
        <v>11716473.2946056</v>
      </c>
      <c r="K89" s="11" t="n">
        <v>1.48080533177433</v>
      </c>
      <c r="L89" s="11" t="n">
        <v>0.566381994885236</v>
      </c>
      <c r="M89" s="11" t="n">
        <v>0.668453586179626</v>
      </c>
      <c r="N89" s="11" t="n">
        <v>0.52933074977693</v>
      </c>
      <c r="O89" s="12" t="n">
        <v>0.0175384963294238</v>
      </c>
      <c r="P89" s="12" t="n">
        <v>0.0710387720344875</v>
      </c>
      <c r="Q89" s="4" t="n">
        <f aca="false">RANK(N89,$N$7:$N$307,0)</f>
        <v>83</v>
      </c>
      <c r="R89" s="4" t="n">
        <f aca="false">RANK(O89,$O$7:$O$307,1)</f>
        <v>73</v>
      </c>
      <c r="S89" s="4" t="n">
        <f aca="false">RANK(J89,$J$7:$J$307,0)</f>
        <v>74</v>
      </c>
      <c r="T89" s="4" t="str">
        <f aca="false">IF(O89&lt;0.05,"YES","no")</f>
        <v>YES</v>
      </c>
      <c r="U89" s="4" t="str">
        <f aca="false">IF(P89&lt;0.05,"YES","no")</f>
        <v>no</v>
      </c>
      <c r="V89" s="4" t="str">
        <f aca="false">IF(N89&gt;1,"YES","no")</f>
        <v>no</v>
      </c>
    </row>
    <row r="90" customFormat="false" ht="15" hidden="false" customHeight="false" outlineLevel="0" collapsed="false">
      <c r="A90" s="4" t="s">
        <v>149</v>
      </c>
      <c r="B90" s="4"/>
      <c r="C90" s="4" t="s">
        <v>61</v>
      </c>
      <c r="D90" s="8" t="n">
        <v>128.03532</v>
      </c>
      <c r="E90" s="9" t="n">
        <v>7.876</v>
      </c>
      <c r="F90" s="10" t="n">
        <v>21232926.0228117</v>
      </c>
      <c r="G90" s="10" t="n">
        <v>9575392.22937372</v>
      </c>
      <c r="H90" s="10" t="n">
        <v>26490707.8779106</v>
      </c>
      <c r="I90" s="10" t="n">
        <v>2828553.86168297</v>
      </c>
      <c r="J90" s="10" t="n">
        <v>23861816.9503611</v>
      </c>
      <c r="K90" s="11" t="n">
        <v>1.24762398971532</v>
      </c>
      <c r="L90" s="11" t="n">
        <v>0.319183198695634</v>
      </c>
      <c r="M90" s="11" t="n">
        <v>0.377688915107204</v>
      </c>
      <c r="N90" s="11" t="n">
        <v>0.524512314548552</v>
      </c>
      <c r="O90" s="12" t="n">
        <v>0.245601073953583</v>
      </c>
      <c r="P90" s="12" t="n">
        <v>0.367082522695315</v>
      </c>
      <c r="Q90" s="4" t="n">
        <f aca="false">RANK(N90,$N$7:$N$307,0)</f>
        <v>84</v>
      </c>
      <c r="R90" s="4" t="n">
        <f aca="false">RANK(O90,$O$7:$O$307,1)</f>
        <v>201</v>
      </c>
      <c r="S90" s="4" t="n">
        <f aca="false">RANK(J90,$J$7:$J$307,0)</f>
        <v>53</v>
      </c>
      <c r="T90" s="4" t="str">
        <f aca="false">IF(O90&lt;0.05,"YES","no")</f>
        <v>no</v>
      </c>
      <c r="U90" s="4" t="str">
        <f aca="false">IF(P90&lt;0.05,"YES","no")</f>
        <v>no</v>
      </c>
      <c r="V90" s="4" t="str">
        <f aca="false">IF(N90&gt;1,"YES","no")</f>
        <v>no</v>
      </c>
    </row>
    <row r="91" customFormat="false" ht="15" hidden="false" customHeight="false" outlineLevel="0" collapsed="false">
      <c r="A91" s="4" t="s">
        <v>175</v>
      </c>
      <c r="B91" s="4"/>
      <c r="C91" s="4" t="s">
        <v>61</v>
      </c>
      <c r="D91" s="8" t="n">
        <v>168.06543</v>
      </c>
      <c r="E91" s="9" t="n">
        <v>7.711</v>
      </c>
      <c r="F91" s="10" t="n">
        <v>990289.946174312</v>
      </c>
      <c r="G91" s="10" t="n">
        <v>231698.98833515</v>
      </c>
      <c r="H91" s="10" t="n">
        <v>4282482.68730225</v>
      </c>
      <c r="I91" s="10" t="n">
        <v>1693342.56331461</v>
      </c>
      <c r="J91" s="10" t="n">
        <v>2636386.31673828</v>
      </c>
      <c r="K91" s="11" t="n">
        <v>4.32447355832132</v>
      </c>
      <c r="L91" s="11" t="n">
        <v>2.11252451632717</v>
      </c>
      <c r="M91" s="11" t="n">
        <v>0.830688742698793</v>
      </c>
      <c r="N91" s="11" t="n">
        <v>0.511294756676784</v>
      </c>
      <c r="O91" s="12" t="n">
        <v>0.00477642003618067</v>
      </c>
      <c r="P91" s="12" t="n">
        <v>0.0359425607722596</v>
      </c>
      <c r="Q91" s="4" t="n">
        <f aca="false">RANK(N91,$N$7:$N$307,0)</f>
        <v>85</v>
      </c>
      <c r="R91" s="4" t="n">
        <f aca="false">RANK(O91,$O$7:$O$307,1)</f>
        <v>40</v>
      </c>
      <c r="S91" s="4" t="n">
        <f aca="false">RANK(J91,$J$7:$J$307,0)</f>
        <v>129</v>
      </c>
      <c r="T91" s="4" t="str">
        <f aca="false">IF(O91&lt;0.05,"YES","no")</f>
        <v>YES</v>
      </c>
      <c r="U91" s="4" t="str">
        <f aca="false">IF(P91&lt;0.05,"YES","no")</f>
        <v>YES</v>
      </c>
      <c r="V91" s="4" t="str">
        <f aca="false">IF(N91&gt;1,"YES","no")</f>
        <v>no</v>
      </c>
    </row>
    <row r="92" customFormat="false" ht="15" hidden="false" customHeight="false" outlineLevel="0" collapsed="false">
      <c r="A92" s="4" t="s">
        <v>180</v>
      </c>
      <c r="B92" s="4"/>
      <c r="C92" s="4" t="s">
        <v>72</v>
      </c>
      <c r="D92" s="8" t="n">
        <v>130.04983</v>
      </c>
      <c r="E92" s="9" t="n">
        <v>8.854</v>
      </c>
      <c r="F92" s="10" t="n">
        <v>2974102.03354171</v>
      </c>
      <c r="G92" s="10" t="n">
        <v>1448952.27760397</v>
      </c>
      <c r="H92" s="10" t="n">
        <v>6314312.20464803</v>
      </c>
      <c r="I92" s="10" t="n">
        <v>885598.818259568</v>
      </c>
      <c r="J92" s="10" t="n">
        <v>4644207.11909487</v>
      </c>
      <c r="K92" s="11" t="n">
        <v>2.12309871464922</v>
      </c>
      <c r="L92" s="11" t="n">
        <v>1.08617145170679</v>
      </c>
      <c r="M92" s="11" t="n">
        <v>0.836013187839257</v>
      </c>
      <c r="N92" s="11" t="n">
        <v>0.506617262201308</v>
      </c>
      <c r="O92" s="12" t="n">
        <v>0.00120291867214406</v>
      </c>
      <c r="P92" s="12" t="n">
        <v>0.0214802342133371</v>
      </c>
      <c r="Q92" s="4" t="n">
        <f aca="false">RANK(N92,$N$7:$N$307,0)</f>
        <v>86</v>
      </c>
      <c r="R92" s="4" t="n">
        <f aca="false">RANK(O92,$O$7:$O$307,1)</f>
        <v>16</v>
      </c>
      <c r="S92" s="4" t="n">
        <f aca="false">RANK(J92,$J$7:$J$307,0)</f>
        <v>109</v>
      </c>
      <c r="T92" s="4" t="str">
        <f aca="false">IF(O92&lt;0.05,"YES","no")</f>
        <v>YES</v>
      </c>
      <c r="U92" s="4" t="str">
        <f aca="false">IF(P92&lt;0.05,"YES","no")</f>
        <v>YES</v>
      </c>
      <c r="V92" s="4" t="str">
        <f aca="false">IF(N92&gt;1,"YES","no")</f>
        <v>no</v>
      </c>
    </row>
    <row r="93" customFormat="false" ht="15" hidden="false" customHeight="false" outlineLevel="0" collapsed="false">
      <c r="A93" s="4" t="s">
        <v>245</v>
      </c>
      <c r="B93" s="4"/>
      <c r="C93" s="4" t="s">
        <v>61</v>
      </c>
      <c r="D93" s="8" t="n">
        <v>191.01976</v>
      </c>
      <c r="E93" s="9" t="n">
        <v>11.158</v>
      </c>
      <c r="F93" s="10" t="n">
        <v>6643956.44643976</v>
      </c>
      <c r="G93" s="10" t="n">
        <v>4121629.41364274</v>
      </c>
      <c r="H93" s="10" t="n">
        <v>11249582.8941485</v>
      </c>
      <c r="I93" s="10" t="n">
        <v>6498031.49850866</v>
      </c>
      <c r="J93" s="10" t="n">
        <v>8946769.67029412</v>
      </c>
      <c r="K93" s="11" t="n">
        <v>1.69320539423113</v>
      </c>
      <c r="L93" s="11" t="n">
        <v>0.759756989928966</v>
      </c>
      <c r="M93" s="11" t="n">
        <v>0.420611529716991</v>
      </c>
      <c r="N93" s="11" t="n">
        <v>0.504716796751001</v>
      </c>
      <c r="O93" s="12" t="n">
        <v>0.178771182051045</v>
      </c>
      <c r="P93" s="12" t="n">
        <v>0.289301751598734</v>
      </c>
      <c r="Q93" s="4" t="n">
        <f aca="false">RANK(N93,$N$7:$N$307,0)</f>
        <v>87</v>
      </c>
      <c r="R93" s="4" t="n">
        <f aca="false">RANK(O93,$O$7:$O$307,1)</f>
        <v>186</v>
      </c>
      <c r="S93" s="4" t="n">
        <f aca="false">RANK(J93,$J$7:$J$307,0)</f>
        <v>83</v>
      </c>
      <c r="T93" s="4" t="str">
        <f aca="false">IF(O93&lt;0.05,"YES","no")</f>
        <v>no</v>
      </c>
      <c r="U93" s="4" t="str">
        <f aca="false">IF(P93&lt;0.05,"YES","no")</f>
        <v>no</v>
      </c>
      <c r="V93" s="4" t="str">
        <f aca="false">IF(N93&gt;1,"YES","no")</f>
        <v>no</v>
      </c>
    </row>
    <row r="94" customFormat="false" ht="15" hidden="false" customHeight="false" outlineLevel="0" collapsed="false">
      <c r="A94" s="4" t="s">
        <v>112</v>
      </c>
      <c r="B94" s="4" t="s">
        <v>113</v>
      </c>
      <c r="C94" s="4" t="s">
        <v>72</v>
      </c>
      <c r="D94" s="8" t="n">
        <v>134.05998</v>
      </c>
      <c r="E94" s="9" t="n">
        <v>6.153</v>
      </c>
      <c r="F94" s="10" t="n">
        <v>3144616.33927867</v>
      </c>
      <c r="G94" s="10" t="n">
        <v>1370647.37597889</v>
      </c>
      <c r="H94" s="10" t="n">
        <v>7429809.14510829</v>
      </c>
      <c r="I94" s="10" t="n">
        <v>3917429.00209229</v>
      </c>
      <c r="J94" s="10" t="n">
        <v>5287212.74219348</v>
      </c>
      <c r="K94" s="11" t="n">
        <v>2.36270767034575</v>
      </c>
      <c r="L94" s="11" t="n">
        <v>1.24044114068214</v>
      </c>
      <c r="M94" s="11" t="n">
        <v>0.62458746690822</v>
      </c>
      <c r="N94" s="11" t="n">
        <v>0.500507592256838</v>
      </c>
      <c r="O94" s="12" t="n">
        <v>0.0434534141097444</v>
      </c>
      <c r="P94" s="12" t="n">
        <v>0.118904342245755</v>
      </c>
      <c r="Q94" s="4" t="n">
        <f aca="false">RANK(N94,$N$7:$N$307,0)</f>
        <v>88</v>
      </c>
      <c r="R94" s="4" t="n">
        <f aca="false">RANK(O94,$O$7:$O$307,1)</f>
        <v>110</v>
      </c>
      <c r="S94" s="4" t="n">
        <f aca="false">RANK(J94,$J$7:$J$307,0)</f>
        <v>102</v>
      </c>
      <c r="T94" s="4" t="str">
        <f aca="false">IF(O94&lt;0.05,"YES","no")</f>
        <v>YES</v>
      </c>
      <c r="U94" s="4" t="str">
        <f aca="false">IF(P94&lt;0.05,"YES","no")</f>
        <v>no</v>
      </c>
      <c r="V94" s="4" t="str">
        <f aca="false">IF(N94&gt;1,"YES","no")</f>
        <v>no</v>
      </c>
    </row>
    <row r="95" customFormat="false" ht="15" hidden="false" customHeight="false" outlineLevel="0" collapsed="false">
      <c r="A95" s="4" t="s">
        <v>141</v>
      </c>
      <c r="B95" s="4" t="s">
        <v>142</v>
      </c>
      <c r="C95" s="4" t="s">
        <v>61</v>
      </c>
      <c r="D95" s="8" t="n">
        <v>606.07472</v>
      </c>
      <c r="E95" s="9" t="n">
        <v>8.878</v>
      </c>
      <c r="F95" s="10" t="n">
        <v>8805140.8785389</v>
      </c>
      <c r="G95" s="10" t="n">
        <v>3616147.39535309</v>
      </c>
      <c r="H95" s="10" t="n">
        <v>13025026.0763431</v>
      </c>
      <c r="I95" s="10" t="n">
        <v>2933066.46074531</v>
      </c>
      <c r="J95" s="10" t="n">
        <v>10915083.477441</v>
      </c>
      <c r="K95" s="11" t="n">
        <v>1.47925243400585</v>
      </c>
      <c r="L95" s="11" t="n">
        <v>0.564868268943109</v>
      </c>
      <c r="M95" s="11" t="n">
        <v>0.574574182428633</v>
      </c>
      <c r="N95" s="11" t="n">
        <v>0.489622993792715</v>
      </c>
      <c r="O95" s="12" t="n">
        <v>0.051791588135767</v>
      </c>
      <c r="P95" s="12" t="n">
        <v>0.127934238480801</v>
      </c>
      <c r="Q95" s="4" t="n">
        <f aca="false">RANK(N95,$N$7:$N$307,0)</f>
        <v>89</v>
      </c>
      <c r="R95" s="4" t="n">
        <f aca="false">RANK(O95,$O$7:$O$307,1)</f>
        <v>121</v>
      </c>
      <c r="S95" s="4" t="n">
        <f aca="false">RANK(J95,$J$7:$J$307,0)</f>
        <v>78</v>
      </c>
      <c r="T95" s="4" t="str">
        <f aca="false">IF(O95&lt;0.05,"YES","no")</f>
        <v>no</v>
      </c>
      <c r="U95" s="4" t="str">
        <f aca="false">IF(P95&lt;0.05,"YES","no")</f>
        <v>no</v>
      </c>
      <c r="V95" s="4" t="str">
        <f aca="false">IF(N95&gt;1,"YES","no")</f>
        <v>no</v>
      </c>
    </row>
    <row r="96" customFormat="false" ht="15" hidden="false" customHeight="false" outlineLevel="0" collapsed="false">
      <c r="A96" s="4" t="s">
        <v>251</v>
      </c>
      <c r="B96" s="4"/>
      <c r="C96" s="4" t="s">
        <v>61</v>
      </c>
      <c r="D96" s="8" t="n">
        <v>261.03698</v>
      </c>
      <c r="E96" s="9" t="n">
        <v>10.336</v>
      </c>
      <c r="F96" s="10" t="n">
        <v>2525385.61787061</v>
      </c>
      <c r="G96" s="10" t="n">
        <v>1864735.64258722</v>
      </c>
      <c r="H96" s="10" t="n">
        <v>7652297.49511922</v>
      </c>
      <c r="I96" s="10" t="n">
        <v>6238913.31289697</v>
      </c>
      <c r="J96" s="10" t="n">
        <v>5088841.55649491</v>
      </c>
      <c r="K96" s="11" t="n">
        <v>3.03015010498539</v>
      </c>
      <c r="L96" s="11" t="n">
        <v>1.59938926246198</v>
      </c>
      <c r="M96" s="11" t="n">
        <v>0.520682446016614</v>
      </c>
      <c r="N96" s="11" t="n">
        <v>0.489591414516299</v>
      </c>
      <c r="O96" s="12" t="n">
        <v>0.102976919017009</v>
      </c>
      <c r="P96" s="12" t="n">
        <v>0.199974533058836</v>
      </c>
      <c r="Q96" s="4" t="n">
        <f aca="false">RANK(N96,$N$7:$N$307,0)</f>
        <v>90</v>
      </c>
      <c r="R96" s="4" t="n">
        <f aca="false">RANK(O96,$O$7:$O$307,1)</f>
        <v>155</v>
      </c>
      <c r="S96" s="4" t="n">
        <f aca="false">RANK(J96,$J$7:$J$307,0)</f>
        <v>105</v>
      </c>
      <c r="T96" s="4" t="str">
        <f aca="false">IF(O96&lt;0.05,"YES","no")</f>
        <v>no</v>
      </c>
      <c r="U96" s="4" t="str">
        <f aca="false">IF(P96&lt;0.05,"YES","no")</f>
        <v>no</v>
      </c>
      <c r="V96" s="4" t="str">
        <f aca="false">IF(N96&gt;1,"YES","no")</f>
        <v>no</v>
      </c>
    </row>
    <row r="97" customFormat="false" ht="15" hidden="false" customHeight="false" outlineLevel="0" collapsed="false">
      <c r="A97" s="4" t="s">
        <v>182</v>
      </c>
      <c r="B97" s="4"/>
      <c r="C97" s="4" t="s">
        <v>61</v>
      </c>
      <c r="D97" s="8" t="n">
        <v>103.03999</v>
      </c>
      <c r="E97" s="9" t="n">
        <v>7.484</v>
      </c>
      <c r="F97" s="10" t="n">
        <v>4179473.77260858</v>
      </c>
      <c r="G97" s="10" t="n">
        <v>4185012.25442397</v>
      </c>
      <c r="H97" s="10" t="n">
        <v>6046552.39301966</v>
      </c>
      <c r="I97" s="10" t="n">
        <v>3009387.23801528</v>
      </c>
      <c r="J97" s="10" t="n">
        <v>5113013.08281412</v>
      </c>
      <c r="K97" s="11" t="n">
        <v>1.44672576548932</v>
      </c>
      <c r="L97" s="11" t="n">
        <v>0.532791477319702</v>
      </c>
      <c r="M97" s="11" t="n">
        <v>0.270136018972507</v>
      </c>
      <c r="N97" s="11" t="n">
        <v>0.471082856851821</v>
      </c>
      <c r="O97" s="12" t="n">
        <v>0.397846129867479</v>
      </c>
      <c r="P97" s="12" t="n">
        <v>0.518405563160655</v>
      </c>
      <c r="Q97" s="4" t="n">
        <f aca="false">RANK(N97,$N$7:$N$307,0)</f>
        <v>91</v>
      </c>
      <c r="R97" s="4" t="n">
        <f aca="false">RANK(O97,$O$7:$O$307,1)</f>
        <v>231</v>
      </c>
      <c r="S97" s="4" t="n">
        <f aca="false">RANK(J97,$J$7:$J$307,0)</f>
        <v>104</v>
      </c>
      <c r="T97" s="4" t="str">
        <f aca="false">IF(O97&lt;0.05,"YES","no")</f>
        <v>no</v>
      </c>
      <c r="U97" s="4" t="str">
        <f aca="false">IF(P97&lt;0.05,"YES","no")</f>
        <v>no</v>
      </c>
      <c r="V97" s="4" t="str">
        <f aca="false">IF(N97&gt;1,"YES","no")</f>
        <v>no</v>
      </c>
    </row>
    <row r="98" customFormat="false" ht="15" hidden="false" customHeight="false" outlineLevel="0" collapsed="false">
      <c r="A98" s="4" t="s">
        <v>214</v>
      </c>
      <c r="B98" s="4"/>
      <c r="C98" s="4" t="s">
        <v>61</v>
      </c>
      <c r="D98" s="8" t="n">
        <v>135.04513</v>
      </c>
      <c r="E98" s="9" t="n">
        <v>5.018</v>
      </c>
      <c r="F98" s="10" t="n">
        <v>15948854.2302084</v>
      </c>
      <c r="G98" s="10" t="n">
        <v>5635711.40476693</v>
      </c>
      <c r="H98" s="10" t="n">
        <v>20955891.1134242</v>
      </c>
      <c r="I98" s="10" t="n">
        <v>4436404.16225625</v>
      </c>
      <c r="J98" s="10" t="n">
        <v>18452372.6718163</v>
      </c>
      <c r="K98" s="11" t="n">
        <v>1.31394335987673</v>
      </c>
      <c r="L98" s="11" t="n">
        <v>0.393903086781879</v>
      </c>
      <c r="M98" s="11" t="n">
        <v>0.475657122816822</v>
      </c>
      <c r="N98" s="11" t="n">
        <v>0.467695698329285</v>
      </c>
      <c r="O98" s="12" t="n">
        <v>0.119735664117064</v>
      </c>
      <c r="P98" s="12" t="n">
        <v>0.21769819719302</v>
      </c>
      <c r="Q98" s="4" t="n">
        <f aca="false">RANK(N98,$N$7:$N$307,0)</f>
        <v>92</v>
      </c>
      <c r="R98" s="4" t="n">
        <f aca="false">RANK(O98,$O$7:$O$307,1)</f>
        <v>164</v>
      </c>
      <c r="S98" s="4" t="n">
        <f aca="false">RANK(J98,$J$7:$J$307,0)</f>
        <v>57</v>
      </c>
      <c r="T98" s="4" t="str">
        <f aca="false">IF(O98&lt;0.05,"YES","no")</f>
        <v>no</v>
      </c>
      <c r="U98" s="4" t="str">
        <f aca="false">IF(P98&lt;0.05,"YES","no")</f>
        <v>no</v>
      </c>
      <c r="V98" s="4" t="str">
        <f aca="false">IF(N98&gt;1,"YES","no")</f>
        <v>no</v>
      </c>
    </row>
    <row r="99" customFormat="false" ht="15" hidden="false" customHeight="false" outlineLevel="0" collapsed="false">
      <c r="A99" s="4" t="s">
        <v>160</v>
      </c>
      <c r="B99" s="4"/>
      <c r="C99" s="4" t="s">
        <v>61</v>
      </c>
      <c r="D99" s="8" t="n">
        <v>147.02994</v>
      </c>
      <c r="E99" s="9" t="n">
        <v>9.279</v>
      </c>
      <c r="F99" s="10" t="n">
        <v>8006592.01136613</v>
      </c>
      <c r="G99" s="10" t="n">
        <v>3031864.22026105</v>
      </c>
      <c r="H99" s="10" t="n">
        <v>11626230.1846788</v>
      </c>
      <c r="I99" s="10" t="n">
        <v>1407651.08736363</v>
      </c>
      <c r="J99" s="10" t="n">
        <v>9816411.09802247</v>
      </c>
      <c r="K99" s="11" t="n">
        <v>1.45208225524346</v>
      </c>
      <c r="L99" s="11" t="n">
        <v>0.538123179139912</v>
      </c>
      <c r="M99" s="11" t="n">
        <v>0.642639165735279</v>
      </c>
      <c r="N99" s="11" t="n">
        <v>0.463809792428222</v>
      </c>
      <c r="O99" s="12" t="n">
        <v>0.0325725986843772</v>
      </c>
      <c r="P99" s="12" t="n">
        <v>0.0976827588366033</v>
      </c>
      <c r="Q99" s="4" t="n">
        <f aca="false">RANK(N99,$N$7:$N$307,0)</f>
        <v>93</v>
      </c>
      <c r="R99" s="4" t="n">
        <f aca="false">RANK(O99,$O$7:$O$307,1)</f>
        <v>100</v>
      </c>
      <c r="S99" s="4" t="n">
        <f aca="false">RANK(J99,$J$7:$J$307,0)</f>
        <v>81</v>
      </c>
      <c r="T99" s="4" t="str">
        <f aca="false">IF(O99&lt;0.05,"YES","no")</f>
        <v>YES</v>
      </c>
      <c r="U99" s="4" t="str">
        <f aca="false">IF(P99&lt;0.05,"YES","no")</f>
        <v>no</v>
      </c>
      <c r="V99" s="4" t="str">
        <f aca="false">IF(N99&gt;1,"YES","no")</f>
        <v>no</v>
      </c>
    </row>
    <row r="100" customFormat="false" ht="15" hidden="false" customHeight="false" outlineLevel="0" collapsed="false">
      <c r="A100" s="4" t="s">
        <v>168</v>
      </c>
      <c r="B100" s="4"/>
      <c r="C100" s="4" t="s">
        <v>61</v>
      </c>
      <c r="D100" s="8" t="n">
        <v>184.9856</v>
      </c>
      <c r="E100" s="9" t="n">
        <v>10.471</v>
      </c>
      <c r="F100" s="10" t="n">
        <v>1685735.48856517</v>
      </c>
      <c r="G100" s="10" t="n">
        <v>2375523.73829546</v>
      </c>
      <c r="H100" s="10" t="n">
        <v>443353.66346626</v>
      </c>
      <c r="I100" s="10" t="n">
        <v>280620.211517356</v>
      </c>
      <c r="J100" s="10" t="n">
        <v>1064544.57601572</v>
      </c>
      <c r="K100" s="11" t="n">
        <v>0.2630031024877</v>
      </c>
      <c r="L100" s="11" t="n">
        <v>-1.92684827667313</v>
      </c>
      <c r="M100" s="11" t="n">
        <v>0.373238336277621</v>
      </c>
      <c r="N100" s="11" t="n">
        <v>0.459070927487145</v>
      </c>
      <c r="O100" s="12" t="n">
        <v>0.257816206325807</v>
      </c>
      <c r="P100" s="12" t="n">
        <v>0.374467182320248</v>
      </c>
      <c r="Q100" s="4" t="n">
        <f aca="false">RANK(N100,$N$7:$N$307,0)</f>
        <v>94</v>
      </c>
      <c r="R100" s="4" t="n">
        <f aca="false">RANK(O100,$O$7:$O$307,1)</f>
        <v>207</v>
      </c>
      <c r="S100" s="4" t="n">
        <f aca="false">RANK(J100,$J$7:$J$307,0)</f>
        <v>169</v>
      </c>
      <c r="T100" s="4" t="str">
        <f aca="false">IF(O100&lt;0.05,"YES","no")</f>
        <v>no</v>
      </c>
      <c r="U100" s="4" t="str">
        <f aca="false">IF(P100&lt;0.05,"YES","no")</f>
        <v>no</v>
      </c>
      <c r="V100" s="4" t="str">
        <f aca="false">IF(N100&gt;1,"YES","no")</f>
        <v>no</v>
      </c>
    </row>
    <row r="101" customFormat="false" ht="15" hidden="false" customHeight="false" outlineLevel="0" collapsed="false">
      <c r="A101" s="4" t="s">
        <v>195</v>
      </c>
      <c r="B101" s="4" t="s">
        <v>196</v>
      </c>
      <c r="C101" s="4" t="s">
        <v>72</v>
      </c>
      <c r="D101" s="8" t="n">
        <v>285.07264</v>
      </c>
      <c r="E101" s="9" t="n">
        <v>9.709</v>
      </c>
      <c r="F101" s="10" t="n">
        <v>1440638.84056237</v>
      </c>
      <c r="G101" s="10" t="n">
        <v>777756.806383556</v>
      </c>
      <c r="H101" s="10" t="n">
        <v>4188353.34848882</v>
      </c>
      <c r="I101" s="10" t="n">
        <v>1385421.73856695</v>
      </c>
      <c r="J101" s="10" t="n">
        <v>2814496.09452559</v>
      </c>
      <c r="K101" s="11" t="n">
        <v>2.90728892666385</v>
      </c>
      <c r="L101" s="11" t="n">
        <v>1.53967445377617</v>
      </c>
      <c r="M101" s="11" t="n">
        <v>0.801348630593999</v>
      </c>
      <c r="N101" s="11" t="n">
        <v>0.456538218058199</v>
      </c>
      <c r="O101" s="12" t="n">
        <v>0.00296256632903728</v>
      </c>
      <c r="P101" s="12" t="n">
        <v>0.0313148539861851</v>
      </c>
      <c r="Q101" s="4" t="n">
        <f aca="false">RANK(N101,$N$7:$N$307,0)</f>
        <v>95</v>
      </c>
      <c r="R101" s="4" t="n">
        <f aca="false">RANK(O101,$O$7:$O$307,1)</f>
        <v>27</v>
      </c>
      <c r="S101" s="4" t="n">
        <f aca="false">RANK(J101,$J$7:$J$307,0)</f>
        <v>125</v>
      </c>
      <c r="T101" s="4" t="str">
        <f aca="false">IF(O101&lt;0.05,"YES","no")</f>
        <v>YES</v>
      </c>
      <c r="U101" s="4" t="str">
        <f aca="false">IF(P101&lt;0.05,"YES","no")</f>
        <v>YES</v>
      </c>
      <c r="V101" s="4" t="str">
        <f aca="false">IF(N101&gt;1,"YES","no")</f>
        <v>no</v>
      </c>
    </row>
    <row r="102" customFormat="false" ht="15" hidden="false" customHeight="false" outlineLevel="0" collapsed="false">
      <c r="A102" s="4" t="s">
        <v>178</v>
      </c>
      <c r="B102" s="4"/>
      <c r="C102" s="4" t="s">
        <v>72</v>
      </c>
      <c r="D102" s="8" t="n">
        <v>229.15467</v>
      </c>
      <c r="E102" s="9" t="n">
        <v>9.96</v>
      </c>
      <c r="F102" s="10" t="n">
        <v>2216979.385097</v>
      </c>
      <c r="G102" s="10" t="n">
        <v>3345708.10060884</v>
      </c>
      <c r="H102" s="10" t="n">
        <v>1434043.17528826</v>
      </c>
      <c r="I102" s="10" t="n">
        <v>450601.022114183</v>
      </c>
      <c r="J102" s="10" t="n">
        <v>1825511.28019263</v>
      </c>
      <c r="K102" s="11" t="n">
        <v>0.646845516439262</v>
      </c>
      <c r="L102" s="11" t="n">
        <v>-0.628506894692388</v>
      </c>
      <c r="M102" s="11" t="n">
        <v>0.176812705158268</v>
      </c>
      <c r="N102" s="11" t="n">
        <v>0.450721215046935</v>
      </c>
      <c r="O102" s="12" t="n">
        <v>0.593715767021347</v>
      </c>
      <c r="P102" s="12" t="n">
        <v>0.695363602620332</v>
      </c>
      <c r="Q102" s="4" t="n">
        <f aca="false">RANK(N102,$N$7:$N$307,0)</f>
        <v>96</v>
      </c>
      <c r="R102" s="4" t="n">
        <f aca="false">RANK(O102,$O$7:$O$307,1)</f>
        <v>257</v>
      </c>
      <c r="S102" s="4" t="n">
        <f aca="false">RANK(J102,$J$7:$J$307,0)</f>
        <v>145</v>
      </c>
      <c r="T102" s="4" t="str">
        <f aca="false">IF(O102&lt;0.05,"YES","no")</f>
        <v>no</v>
      </c>
      <c r="U102" s="4" t="str">
        <f aca="false">IF(P102&lt;0.05,"YES","no")</f>
        <v>no</v>
      </c>
      <c r="V102" s="4" t="str">
        <f aca="false">IF(N102&gt;1,"YES","no")</f>
        <v>no</v>
      </c>
    </row>
    <row r="103" customFormat="false" ht="15" hidden="false" customHeight="false" outlineLevel="0" collapsed="false">
      <c r="A103" s="4" t="s">
        <v>188</v>
      </c>
      <c r="B103" s="4"/>
      <c r="C103" s="4" t="s">
        <v>61</v>
      </c>
      <c r="D103" s="8" t="n">
        <v>195.05091</v>
      </c>
      <c r="E103" s="9" t="n">
        <v>9.065</v>
      </c>
      <c r="F103" s="10" t="n">
        <v>3018443.6805825</v>
      </c>
      <c r="G103" s="10" t="n">
        <v>1604862.39153181</v>
      </c>
      <c r="H103" s="10" t="n">
        <v>5960770.57487157</v>
      </c>
      <c r="I103" s="10" t="n">
        <v>1439255.66683926</v>
      </c>
      <c r="J103" s="10" t="n">
        <v>4489607.12772703</v>
      </c>
      <c r="K103" s="11" t="n">
        <v>1.97478277074272</v>
      </c>
      <c r="L103" s="11" t="n">
        <v>0.981693963260078</v>
      </c>
      <c r="M103" s="11" t="n">
        <v>0.726503689920613</v>
      </c>
      <c r="N103" s="11" t="n">
        <v>0.439102729316515</v>
      </c>
      <c r="O103" s="12" t="n">
        <v>0.00756838520237528</v>
      </c>
      <c r="P103" s="12" t="n">
        <v>0.0484270134476217</v>
      </c>
      <c r="Q103" s="4" t="n">
        <f aca="false">RANK(N103,$N$7:$N$307,0)</f>
        <v>97</v>
      </c>
      <c r="R103" s="4" t="n">
        <f aca="false">RANK(O103,$O$7:$O$307,1)</f>
        <v>47</v>
      </c>
      <c r="S103" s="4" t="n">
        <f aca="false">RANK(J103,$J$7:$J$307,0)</f>
        <v>111</v>
      </c>
      <c r="T103" s="4" t="str">
        <f aca="false">IF(O103&lt;0.05,"YES","no")</f>
        <v>YES</v>
      </c>
      <c r="U103" s="4" t="str">
        <f aca="false">IF(P103&lt;0.05,"YES","no")</f>
        <v>YES</v>
      </c>
      <c r="V103" s="4" t="str">
        <f aca="false">IF(N103&gt;1,"YES","no")</f>
        <v>no</v>
      </c>
    </row>
    <row r="104" customFormat="false" ht="15" hidden="false" customHeight="false" outlineLevel="0" collapsed="false">
      <c r="A104" s="4" t="s">
        <v>138</v>
      </c>
      <c r="B104" s="4"/>
      <c r="C104" s="4" t="s">
        <v>61</v>
      </c>
      <c r="D104" s="8" t="n">
        <v>179.0561</v>
      </c>
      <c r="E104" s="9" t="n">
        <v>11.841</v>
      </c>
      <c r="F104" s="10" t="n">
        <v>44572438.9894992</v>
      </c>
      <c r="G104" s="10" t="n">
        <v>5045622.81291681</v>
      </c>
      <c r="H104" s="10" t="n">
        <v>48975163.2731677</v>
      </c>
      <c r="I104" s="10" t="n">
        <v>4685009.69411614</v>
      </c>
      <c r="J104" s="10" t="n">
        <v>46773801.1313334</v>
      </c>
      <c r="K104" s="11" t="n">
        <v>1.09877683123209</v>
      </c>
      <c r="L104" s="11" t="n">
        <v>0.135898395232482</v>
      </c>
      <c r="M104" s="11" t="n">
        <v>0.443844910355953</v>
      </c>
      <c r="N104" s="11" t="n">
        <v>0.427126062324093</v>
      </c>
      <c r="O104" s="12" t="n">
        <v>0.148515562799634</v>
      </c>
      <c r="P104" s="12" t="n">
        <v>0.252560363857005</v>
      </c>
      <c r="Q104" s="4" t="n">
        <f aca="false">RANK(N104,$N$7:$N$307,0)</f>
        <v>98</v>
      </c>
      <c r="R104" s="4" t="n">
        <f aca="false">RANK(O104,$O$7:$O$307,1)</f>
        <v>177</v>
      </c>
      <c r="S104" s="4" t="n">
        <f aca="false">RANK(J104,$J$7:$J$307,0)</f>
        <v>35</v>
      </c>
      <c r="T104" s="4" t="str">
        <f aca="false">IF(O104&lt;0.05,"YES","no")</f>
        <v>no</v>
      </c>
      <c r="U104" s="4" t="str">
        <f aca="false">IF(P104&lt;0.05,"YES","no")</f>
        <v>no</v>
      </c>
      <c r="V104" s="4" t="str">
        <f aca="false">IF(N104&gt;1,"YES","no")</f>
        <v>no</v>
      </c>
    </row>
    <row r="105" customFormat="false" ht="15" hidden="false" customHeight="false" outlineLevel="0" collapsed="false">
      <c r="A105" s="4" t="s">
        <v>165</v>
      </c>
      <c r="B105" s="4"/>
      <c r="C105" s="4" t="s">
        <v>61</v>
      </c>
      <c r="D105" s="8" t="n">
        <v>664.11651</v>
      </c>
      <c r="E105" s="9" t="n">
        <v>9.531</v>
      </c>
      <c r="F105" s="10" t="n">
        <v>1680979.43365695</v>
      </c>
      <c r="G105" s="10" t="n">
        <v>1328088.5800522</v>
      </c>
      <c r="H105" s="10" t="n">
        <v>445732.875709279</v>
      </c>
      <c r="I105" s="10" t="n">
        <v>221768.595821516</v>
      </c>
      <c r="J105" s="10" t="n">
        <v>1063356.15468312</v>
      </c>
      <c r="K105" s="11" t="n">
        <v>0.265162599128053</v>
      </c>
      <c r="L105" s="11" t="n">
        <v>-1.91505079552157</v>
      </c>
      <c r="M105" s="11" t="n">
        <v>0.579251566824484</v>
      </c>
      <c r="N105" s="11" t="n">
        <v>0.424116955240392</v>
      </c>
      <c r="O105" s="12" t="n">
        <v>0.0717333277265431</v>
      </c>
      <c r="P105" s="12" t="n">
        <v>0.159938752931033</v>
      </c>
      <c r="Q105" s="4" t="n">
        <f aca="false">RANK(N105,$N$7:$N$307,0)</f>
        <v>99</v>
      </c>
      <c r="R105" s="4" t="n">
        <f aca="false">RANK(O105,$O$7:$O$307,1)</f>
        <v>135</v>
      </c>
      <c r="S105" s="4" t="n">
        <f aca="false">RANK(J105,$J$7:$J$307,0)</f>
        <v>170</v>
      </c>
      <c r="T105" s="4" t="str">
        <f aca="false">IF(O105&lt;0.05,"YES","no")</f>
        <v>no</v>
      </c>
      <c r="U105" s="4" t="str">
        <f aca="false">IF(P105&lt;0.05,"YES","no")</f>
        <v>no</v>
      </c>
      <c r="V105" s="4" t="str">
        <f aca="false">IF(N105&gt;1,"YES","no")</f>
        <v>no</v>
      </c>
    </row>
    <row r="106" customFormat="false" ht="15" hidden="false" customHeight="false" outlineLevel="0" collapsed="false">
      <c r="A106" s="4" t="s">
        <v>184</v>
      </c>
      <c r="B106" s="4"/>
      <c r="C106" s="4" t="s">
        <v>72</v>
      </c>
      <c r="D106" s="8" t="n">
        <v>106.08619</v>
      </c>
      <c r="E106" s="9" t="n">
        <v>6.88</v>
      </c>
      <c r="F106" s="10" t="n">
        <v>9225462.83326984</v>
      </c>
      <c r="G106" s="10" t="n">
        <v>2679539.78325674</v>
      </c>
      <c r="H106" s="10" t="n">
        <v>13583314.326664</v>
      </c>
      <c r="I106" s="10" t="n">
        <v>6311376.04446794</v>
      </c>
      <c r="J106" s="10" t="n">
        <v>11404388.5799669</v>
      </c>
      <c r="K106" s="11" t="n">
        <v>1.47237212616351</v>
      </c>
      <c r="L106" s="11" t="n">
        <v>0.5581423430808</v>
      </c>
      <c r="M106" s="11" t="n">
        <v>0.441684512098015</v>
      </c>
      <c r="N106" s="11" t="n">
        <v>0.418761268022721</v>
      </c>
      <c r="O106" s="12" t="n">
        <v>0.165071808399671</v>
      </c>
      <c r="P106" s="12" t="n">
        <v>0.273003375430225</v>
      </c>
      <c r="Q106" s="4" t="n">
        <f aca="false">RANK(N106,$N$7:$N$307,0)</f>
        <v>100</v>
      </c>
      <c r="R106" s="4" t="n">
        <f aca="false">RANK(O106,$O$7:$O$307,1)</f>
        <v>182</v>
      </c>
      <c r="S106" s="4" t="n">
        <f aca="false">RANK(J106,$J$7:$J$307,0)</f>
        <v>75</v>
      </c>
      <c r="T106" s="4" t="str">
        <f aca="false">IF(O106&lt;0.05,"YES","no")</f>
        <v>no</v>
      </c>
      <c r="U106" s="4" t="str">
        <f aca="false">IF(P106&lt;0.05,"YES","no")</f>
        <v>no</v>
      </c>
      <c r="V106" s="4" t="str">
        <f aca="false">IF(N106&gt;1,"YES","no")</f>
        <v>no</v>
      </c>
    </row>
    <row r="107" customFormat="false" ht="15" hidden="false" customHeight="false" outlineLevel="0" collapsed="false">
      <c r="A107" s="4" t="s">
        <v>210</v>
      </c>
      <c r="B107" s="4" t="s">
        <v>211</v>
      </c>
      <c r="C107" s="4" t="s">
        <v>61</v>
      </c>
      <c r="D107" s="8" t="n">
        <v>130.0862</v>
      </c>
      <c r="E107" s="9" t="n">
        <v>10.393</v>
      </c>
      <c r="F107" s="10" t="n">
        <v>6247718.15736157</v>
      </c>
      <c r="G107" s="10" t="n">
        <v>2357383.74161739</v>
      </c>
      <c r="H107" s="10" t="n">
        <v>9140490.38385382</v>
      </c>
      <c r="I107" s="10" t="n">
        <v>1656660.55368129</v>
      </c>
      <c r="J107" s="10" t="n">
        <v>7694104.27060769</v>
      </c>
      <c r="K107" s="11" t="n">
        <v>1.46301259974152</v>
      </c>
      <c r="L107" s="11" t="n">
        <v>0.548942194292755</v>
      </c>
      <c r="M107" s="11" t="n">
        <v>0.613895395405399</v>
      </c>
      <c r="N107" s="11" t="n">
        <v>0.411534032001145</v>
      </c>
      <c r="O107" s="12" t="n">
        <v>0.0362856659673091</v>
      </c>
      <c r="P107" s="12" t="n">
        <v>0.103037598643019</v>
      </c>
      <c r="Q107" s="4" t="n">
        <f aca="false">RANK(N107,$N$7:$N$307,0)</f>
        <v>101</v>
      </c>
      <c r="R107" s="4" t="n">
        <f aca="false">RANK(O107,$O$7:$O$307,1)</f>
        <v>106</v>
      </c>
      <c r="S107" s="4" t="n">
        <f aca="false">RANK(J107,$J$7:$J$307,0)</f>
        <v>89</v>
      </c>
      <c r="T107" s="4" t="str">
        <f aca="false">IF(O107&lt;0.05,"YES","no")</f>
        <v>YES</v>
      </c>
      <c r="U107" s="4" t="str">
        <f aca="false">IF(P107&lt;0.05,"YES","no")</f>
        <v>no</v>
      </c>
      <c r="V107" s="4" t="str">
        <f aca="false">IF(N107&gt;1,"YES","no")</f>
        <v>no</v>
      </c>
    </row>
    <row r="108" customFormat="false" ht="15" hidden="false" customHeight="false" outlineLevel="0" collapsed="false">
      <c r="A108" s="4" t="s">
        <v>150</v>
      </c>
      <c r="B108" s="4"/>
      <c r="C108" s="4" t="s">
        <v>61</v>
      </c>
      <c r="D108" s="8" t="n">
        <v>558.06456</v>
      </c>
      <c r="E108" s="9" t="n">
        <v>9.061</v>
      </c>
      <c r="F108" s="10" t="n">
        <v>6812886.01939738</v>
      </c>
      <c r="G108" s="10" t="n">
        <v>4095713.37175948</v>
      </c>
      <c r="H108" s="10" t="n">
        <v>9835972.66767691</v>
      </c>
      <c r="I108" s="10" t="n">
        <v>4415501.9559027</v>
      </c>
      <c r="J108" s="10" t="n">
        <v>8324429.34353714</v>
      </c>
      <c r="K108" s="11" t="n">
        <v>1.44373069499069</v>
      </c>
      <c r="L108" s="11" t="n">
        <v>0.529801655496723</v>
      </c>
      <c r="M108" s="11" t="n">
        <v>0.362386656905268</v>
      </c>
      <c r="N108" s="11" t="n">
        <v>0.408601424637321</v>
      </c>
      <c r="O108" s="12" t="n">
        <v>0.247166558690495</v>
      </c>
      <c r="P108" s="12" t="n">
        <v>0.367082522695315</v>
      </c>
      <c r="Q108" s="4" t="n">
        <f aca="false">RANK(N108,$N$7:$N$307,0)</f>
        <v>102</v>
      </c>
      <c r="R108" s="4" t="n">
        <f aca="false">RANK(O108,$O$7:$O$307,1)</f>
        <v>202</v>
      </c>
      <c r="S108" s="4" t="n">
        <f aca="false">RANK(J108,$J$7:$J$307,0)</f>
        <v>86</v>
      </c>
      <c r="T108" s="4" t="str">
        <f aca="false">IF(O108&lt;0.05,"YES","no")</f>
        <v>no</v>
      </c>
      <c r="U108" s="4" t="str">
        <f aca="false">IF(P108&lt;0.05,"YES","no")</f>
        <v>no</v>
      </c>
      <c r="V108" s="4" t="str">
        <f aca="false">IF(N108&gt;1,"YES","no")</f>
        <v>no</v>
      </c>
    </row>
    <row r="109" customFormat="false" ht="15" hidden="false" customHeight="false" outlineLevel="0" collapsed="false">
      <c r="A109" s="4" t="s">
        <v>158</v>
      </c>
      <c r="B109" s="4"/>
      <c r="C109" s="4" t="s">
        <v>72</v>
      </c>
      <c r="D109" s="8" t="n">
        <v>611.14469</v>
      </c>
      <c r="E109" s="9" t="n">
        <v>10.174</v>
      </c>
      <c r="F109" s="10" t="n">
        <v>6068610.1099555</v>
      </c>
      <c r="G109" s="10" t="n">
        <v>1673126.6463437</v>
      </c>
      <c r="H109" s="10" t="n">
        <v>9333947.71530327</v>
      </c>
      <c r="I109" s="10" t="n">
        <v>3341778.39065808</v>
      </c>
      <c r="J109" s="10" t="n">
        <v>7701278.91262939</v>
      </c>
      <c r="K109" s="11" t="n">
        <v>1.53807009285224</v>
      </c>
      <c r="L109" s="11" t="n">
        <v>0.621121251223087</v>
      </c>
      <c r="M109" s="11" t="n">
        <v>0.560491514998377</v>
      </c>
      <c r="N109" s="11" t="n">
        <v>0.405624479196651</v>
      </c>
      <c r="O109" s="12" t="n">
        <v>0.0677168114915553</v>
      </c>
      <c r="P109" s="12" t="n">
        <v>0.154414850446653</v>
      </c>
      <c r="Q109" s="4" t="n">
        <f aca="false">RANK(N109,$N$7:$N$307,0)</f>
        <v>103</v>
      </c>
      <c r="R109" s="4" t="n">
        <f aca="false">RANK(O109,$O$7:$O$307,1)</f>
        <v>132</v>
      </c>
      <c r="S109" s="4" t="n">
        <f aca="false">RANK(J109,$J$7:$J$307,0)</f>
        <v>88</v>
      </c>
      <c r="T109" s="4" t="str">
        <f aca="false">IF(O109&lt;0.05,"YES","no")</f>
        <v>no</v>
      </c>
      <c r="U109" s="4" t="str">
        <f aca="false">IF(P109&lt;0.05,"YES","no")</f>
        <v>no</v>
      </c>
      <c r="V109" s="4" t="str">
        <f aca="false">IF(N109&gt;1,"YES","no")</f>
        <v>no</v>
      </c>
    </row>
    <row r="110" customFormat="false" ht="15" hidden="false" customHeight="false" outlineLevel="0" collapsed="false">
      <c r="A110" s="4" t="s">
        <v>209</v>
      </c>
      <c r="B110" s="4"/>
      <c r="C110" s="4" t="s">
        <v>72</v>
      </c>
      <c r="D110" s="8" t="n">
        <v>103.04004</v>
      </c>
      <c r="E110" s="9" t="n">
        <v>8.188</v>
      </c>
      <c r="F110" s="10" t="n">
        <v>1386468.01740953</v>
      </c>
      <c r="G110" s="10" t="n">
        <v>367513.844929273</v>
      </c>
      <c r="H110" s="10" t="n">
        <v>3265862.12651507</v>
      </c>
      <c r="I110" s="10" t="n">
        <v>736860.908606859</v>
      </c>
      <c r="J110" s="10" t="n">
        <v>2326165.0719623</v>
      </c>
      <c r="K110" s="11" t="n">
        <v>2.35552647843764</v>
      </c>
      <c r="L110" s="11" t="n">
        <v>1.23604954941019</v>
      </c>
      <c r="M110" s="11" t="n">
        <v>0.870409599829321</v>
      </c>
      <c r="N110" s="11" t="n">
        <v>0.403119200419461</v>
      </c>
      <c r="O110" s="12" t="n">
        <v>0.000697702891748682</v>
      </c>
      <c r="P110" s="12" t="n">
        <v>0.0201401215916247</v>
      </c>
      <c r="Q110" s="4" t="n">
        <f aca="false">RANK(N110,$N$7:$N$307,0)</f>
        <v>104</v>
      </c>
      <c r="R110" s="4" t="n">
        <f aca="false">RANK(O110,$O$7:$O$307,1)</f>
        <v>9</v>
      </c>
      <c r="S110" s="4" t="n">
        <f aca="false">RANK(J110,$J$7:$J$307,0)</f>
        <v>136</v>
      </c>
      <c r="T110" s="4" t="str">
        <f aca="false">IF(O110&lt;0.05,"YES","no")</f>
        <v>YES</v>
      </c>
      <c r="U110" s="4" t="str">
        <f aca="false">IF(P110&lt;0.05,"YES","no")</f>
        <v>YES</v>
      </c>
      <c r="V110" s="4" t="str">
        <f aca="false">IF(N110&gt;1,"YES","no")</f>
        <v>no</v>
      </c>
    </row>
    <row r="111" customFormat="false" ht="15" hidden="false" customHeight="false" outlineLevel="0" collapsed="false">
      <c r="A111" s="4" t="s">
        <v>173</v>
      </c>
      <c r="B111" s="4" t="s">
        <v>174</v>
      </c>
      <c r="C111" s="4" t="s">
        <v>61</v>
      </c>
      <c r="D111" s="8" t="n">
        <v>505.98835</v>
      </c>
      <c r="E111" s="9" t="n">
        <v>10.116</v>
      </c>
      <c r="F111" s="10" t="n">
        <v>1514878.61546912</v>
      </c>
      <c r="G111" s="10" t="n">
        <v>1707412.31567716</v>
      </c>
      <c r="H111" s="10" t="n">
        <v>500149.752797138</v>
      </c>
      <c r="I111" s="10" t="n">
        <v>514914.677048482</v>
      </c>
      <c r="J111" s="10" t="n">
        <v>1007514.18413313</v>
      </c>
      <c r="K111" s="11" t="n">
        <v>0.330158302909473</v>
      </c>
      <c r="L111" s="11" t="n">
        <v>-1.59877016719904</v>
      </c>
      <c r="M111" s="11" t="n">
        <v>0.403307962220202</v>
      </c>
      <c r="N111" s="11" t="n">
        <v>0.395645906519739</v>
      </c>
      <c r="O111" s="12" t="n">
        <v>0.213609362555845</v>
      </c>
      <c r="P111" s="12" t="n">
        <v>0.331424835718089</v>
      </c>
      <c r="Q111" s="4" t="n">
        <f aca="false">RANK(N111,$N$7:$N$307,0)</f>
        <v>105</v>
      </c>
      <c r="R111" s="4" t="n">
        <f aca="false">RANK(O111,$O$7:$O$307,1)</f>
        <v>194</v>
      </c>
      <c r="S111" s="4" t="n">
        <f aca="false">RANK(J111,$J$7:$J$307,0)</f>
        <v>177</v>
      </c>
      <c r="T111" s="4" t="str">
        <f aca="false">IF(O111&lt;0.05,"YES","no")</f>
        <v>no</v>
      </c>
      <c r="U111" s="4" t="str">
        <f aca="false">IF(P111&lt;0.05,"YES","no")</f>
        <v>no</v>
      </c>
      <c r="V111" s="4" t="str">
        <f aca="false">IF(N111&gt;1,"YES","no")</f>
        <v>no</v>
      </c>
    </row>
    <row r="112" customFormat="false" ht="15" hidden="false" customHeight="false" outlineLevel="0" collapsed="false">
      <c r="A112" s="4" t="s">
        <v>216</v>
      </c>
      <c r="B112" s="4"/>
      <c r="C112" s="4" t="s">
        <v>72</v>
      </c>
      <c r="D112" s="8" t="n">
        <v>140.01177</v>
      </c>
      <c r="E112" s="9" t="n">
        <v>11</v>
      </c>
      <c r="F112" s="10" t="n">
        <v>15358087.3882769</v>
      </c>
      <c r="G112" s="10" t="n">
        <v>5873387.28313807</v>
      </c>
      <c r="H112" s="10" t="n">
        <v>18731082.7040997</v>
      </c>
      <c r="I112" s="10" t="n">
        <v>11275910.2666922</v>
      </c>
      <c r="J112" s="10" t="n">
        <v>17044585.0461883</v>
      </c>
      <c r="K112" s="11" t="n">
        <v>1.21962339649125</v>
      </c>
      <c r="L112" s="11" t="n">
        <v>0.286435731483701</v>
      </c>
      <c r="M112" s="11" t="n">
        <v>0.20129419448612</v>
      </c>
      <c r="N112" s="11" t="n">
        <v>0.39032326646886</v>
      </c>
      <c r="O112" s="12" t="n">
        <v>0.535112550075378</v>
      </c>
      <c r="P112" s="12" t="n">
        <v>0.631642657147799</v>
      </c>
      <c r="Q112" s="4" t="n">
        <f aca="false">RANK(N112,$N$7:$N$307,0)</f>
        <v>106</v>
      </c>
      <c r="R112" s="4" t="n">
        <f aca="false">RANK(O112,$O$7:$O$307,1)</f>
        <v>255</v>
      </c>
      <c r="S112" s="4" t="n">
        <f aca="false">RANK(J112,$J$7:$J$307,0)</f>
        <v>60</v>
      </c>
      <c r="T112" s="4" t="str">
        <f aca="false">IF(O112&lt;0.05,"YES","no")</f>
        <v>no</v>
      </c>
      <c r="U112" s="4" t="str">
        <f aca="false">IF(P112&lt;0.05,"YES","no")</f>
        <v>no</v>
      </c>
      <c r="V112" s="4" t="str">
        <f aca="false">IF(N112&gt;1,"YES","no")</f>
        <v>no</v>
      </c>
    </row>
    <row r="113" customFormat="false" ht="15" hidden="false" customHeight="false" outlineLevel="0" collapsed="false">
      <c r="A113" s="4" t="s">
        <v>218</v>
      </c>
      <c r="B113" s="4"/>
      <c r="C113" s="4" t="s">
        <v>72</v>
      </c>
      <c r="D113" s="8" t="n">
        <v>120.06549</v>
      </c>
      <c r="E113" s="9" t="n">
        <v>11.686</v>
      </c>
      <c r="F113" s="10" t="n">
        <v>1224442.87418443</v>
      </c>
      <c r="G113" s="10" t="n">
        <v>610490.331954784</v>
      </c>
      <c r="H113" s="10" t="n">
        <v>3630361.9859014</v>
      </c>
      <c r="I113" s="10" t="n">
        <v>2344056.39436742</v>
      </c>
      <c r="J113" s="10" t="n">
        <v>2427402.43004291</v>
      </c>
      <c r="K113" s="11" t="n">
        <v>2.96490923541002</v>
      </c>
      <c r="L113" s="11" t="n">
        <v>1.56798794030985</v>
      </c>
      <c r="M113" s="11" t="n">
        <v>0.609782110971041</v>
      </c>
      <c r="N113" s="11" t="n">
        <v>0.385510180308647</v>
      </c>
      <c r="O113" s="12" t="n">
        <v>0.053285333086144</v>
      </c>
      <c r="P113" s="12" t="n">
        <v>0.127934238480801</v>
      </c>
      <c r="Q113" s="4" t="n">
        <f aca="false">RANK(N113,$N$7:$N$307,0)</f>
        <v>107</v>
      </c>
      <c r="R113" s="4" t="n">
        <f aca="false">RANK(O113,$O$7:$O$307,1)</f>
        <v>124</v>
      </c>
      <c r="S113" s="4" t="n">
        <f aca="false">RANK(J113,$J$7:$J$307,0)</f>
        <v>134</v>
      </c>
      <c r="T113" s="4" t="str">
        <f aca="false">IF(O113&lt;0.05,"YES","no")</f>
        <v>no</v>
      </c>
      <c r="U113" s="4" t="str">
        <f aca="false">IF(P113&lt;0.05,"YES","no")</f>
        <v>no</v>
      </c>
      <c r="V113" s="4" t="str">
        <f aca="false">IF(N113&gt;1,"YES","no")</f>
        <v>no</v>
      </c>
    </row>
    <row r="114" customFormat="false" ht="15" hidden="false" customHeight="false" outlineLevel="0" collapsed="false">
      <c r="A114" s="4" t="s">
        <v>167</v>
      </c>
      <c r="B114" s="4"/>
      <c r="C114" s="4" t="s">
        <v>72</v>
      </c>
      <c r="D114" s="8" t="n">
        <v>260.18566</v>
      </c>
      <c r="E114" s="9" t="n">
        <v>7.525</v>
      </c>
      <c r="F114" s="10" t="n">
        <v>4145059.26414705</v>
      </c>
      <c r="G114" s="10" t="n">
        <v>1655482.17475555</v>
      </c>
      <c r="H114" s="10" t="n">
        <v>2512468.81535209</v>
      </c>
      <c r="I114" s="10" t="n">
        <v>1143904.61721787</v>
      </c>
      <c r="J114" s="10" t="n">
        <v>3328764.03974957</v>
      </c>
      <c r="K114" s="11" t="n">
        <v>0.606135800538209</v>
      </c>
      <c r="L114" s="11" t="n">
        <v>-0.722287039119398</v>
      </c>
      <c r="M114" s="11" t="n">
        <v>0.532098553877255</v>
      </c>
      <c r="N114" s="11" t="n">
        <v>0.382437930405035</v>
      </c>
      <c r="O114" s="12" t="n">
        <v>0.0785313353151034</v>
      </c>
      <c r="P114" s="12" t="n">
        <v>0.168842370927472</v>
      </c>
      <c r="Q114" s="4" t="n">
        <f aca="false">RANK(N114,$N$7:$N$307,0)</f>
        <v>108</v>
      </c>
      <c r="R114" s="4" t="n">
        <f aca="false">RANK(O114,$O$7:$O$307,1)</f>
        <v>140</v>
      </c>
      <c r="S114" s="4" t="n">
        <f aca="false">RANK(J114,$J$7:$J$307,0)</f>
        <v>120</v>
      </c>
      <c r="T114" s="4" t="str">
        <f aca="false">IF(O114&lt;0.05,"YES","no")</f>
        <v>no</v>
      </c>
      <c r="U114" s="4" t="str">
        <f aca="false">IF(P114&lt;0.05,"YES","no")</f>
        <v>no</v>
      </c>
      <c r="V114" s="4" t="str">
        <f aca="false">IF(N114&gt;1,"YES","no")</f>
        <v>no</v>
      </c>
    </row>
    <row r="115" customFormat="false" ht="15" hidden="false" customHeight="false" outlineLevel="0" collapsed="false">
      <c r="A115" s="4" t="s">
        <v>161</v>
      </c>
      <c r="B115" s="4"/>
      <c r="C115" s="4" t="s">
        <v>72</v>
      </c>
      <c r="D115" s="8" t="n">
        <v>129.05567</v>
      </c>
      <c r="E115" s="9" t="n">
        <v>4.632</v>
      </c>
      <c r="F115" s="10" t="n">
        <v>3546302.66630318</v>
      </c>
      <c r="G115" s="10" t="n">
        <v>1024422.31488771</v>
      </c>
      <c r="H115" s="10" t="n">
        <v>5833020.5699409</v>
      </c>
      <c r="I115" s="10" t="n">
        <v>2433720.0119529</v>
      </c>
      <c r="J115" s="10" t="n">
        <v>4689661.61812204</v>
      </c>
      <c r="K115" s="11" t="n">
        <v>1.64481746732055</v>
      </c>
      <c r="L115" s="11" t="n">
        <v>0.71792749058492</v>
      </c>
      <c r="M115" s="11" t="n">
        <v>0.557076945914648</v>
      </c>
      <c r="N115" s="11" t="n">
        <v>0.373738913840976</v>
      </c>
      <c r="O115" s="12" t="n">
        <v>0.0732367134984317</v>
      </c>
      <c r="P115" s="12" t="n">
        <v>0.160906939876116</v>
      </c>
      <c r="Q115" s="4" t="n">
        <f aca="false">RANK(N115,$N$7:$N$307,0)</f>
        <v>109</v>
      </c>
      <c r="R115" s="4" t="n">
        <f aca="false">RANK(O115,$O$7:$O$307,1)</f>
        <v>137</v>
      </c>
      <c r="S115" s="4" t="n">
        <f aca="false">RANK(J115,$J$7:$J$307,0)</f>
        <v>108</v>
      </c>
      <c r="T115" s="4" t="str">
        <f aca="false">IF(O115&lt;0.05,"YES","no")</f>
        <v>no</v>
      </c>
      <c r="U115" s="4" t="str">
        <f aca="false">IF(P115&lt;0.05,"YES","no")</f>
        <v>no</v>
      </c>
      <c r="V115" s="4" t="str">
        <f aca="false">IF(N115&gt;1,"YES","no")</f>
        <v>no</v>
      </c>
    </row>
    <row r="116" customFormat="false" ht="15" hidden="false" customHeight="false" outlineLevel="0" collapsed="false">
      <c r="A116" s="4" t="s">
        <v>205</v>
      </c>
      <c r="B116" s="4"/>
      <c r="C116" s="4" t="s">
        <v>61</v>
      </c>
      <c r="D116" s="8" t="n">
        <v>133.06076</v>
      </c>
      <c r="E116" s="9" t="n">
        <v>8.774</v>
      </c>
      <c r="F116" s="10" t="n">
        <v>1386586.46972261</v>
      </c>
      <c r="G116" s="10" t="n">
        <v>1211028.28680286</v>
      </c>
      <c r="H116" s="10" t="n">
        <v>3496478.87351388</v>
      </c>
      <c r="I116" s="10" t="n">
        <v>916345.895604178</v>
      </c>
      <c r="J116" s="10" t="n">
        <v>2441532.67161824</v>
      </c>
      <c r="K116" s="11" t="n">
        <v>2.52164502529247</v>
      </c>
      <c r="L116" s="11" t="n">
        <v>1.33436520021238</v>
      </c>
      <c r="M116" s="11" t="n">
        <v>0.732555392177224</v>
      </c>
      <c r="N116" s="11" t="n">
        <v>0.373329409464974</v>
      </c>
      <c r="O116" s="12" t="n">
        <v>0.00745730839329253</v>
      </c>
      <c r="P116" s="12" t="n">
        <v>0.0484270134476217</v>
      </c>
      <c r="Q116" s="4" t="n">
        <f aca="false">RANK(N116,$N$7:$N$307,0)</f>
        <v>110</v>
      </c>
      <c r="R116" s="4" t="n">
        <f aca="false">RANK(O116,$O$7:$O$307,1)</f>
        <v>46</v>
      </c>
      <c r="S116" s="4" t="n">
        <f aca="false">RANK(J116,$J$7:$J$307,0)</f>
        <v>133</v>
      </c>
      <c r="T116" s="4" t="str">
        <f aca="false">IF(O116&lt;0.05,"YES","no")</f>
        <v>YES</v>
      </c>
      <c r="U116" s="4" t="str">
        <f aca="false">IF(P116&lt;0.05,"YES","no")</f>
        <v>YES</v>
      </c>
      <c r="V116" s="4" t="str">
        <f aca="false">IF(N116&gt;1,"YES","no")</f>
        <v>no</v>
      </c>
    </row>
    <row r="117" customFormat="false" ht="15" hidden="false" customHeight="false" outlineLevel="0" collapsed="false">
      <c r="A117" s="4" t="s">
        <v>147</v>
      </c>
      <c r="B117" s="4" t="s">
        <v>148</v>
      </c>
      <c r="C117" s="4" t="s">
        <v>61</v>
      </c>
      <c r="D117" s="8" t="n">
        <v>110.02696</v>
      </c>
      <c r="E117" s="9" t="n">
        <v>11.333</v>
      </c>
      <c r="F117" s="10" t="n">
        <v>11707960.8109509</v>
      </c>
      <c r="G117" s="10" t="n">
        <v>4462177.22593191</v>
      </c>
      <c r="H117" s="10" t="n">
        <v>14503209.8762696</v>
      </c>
      <c r="I117" s="10" t="n">
        <v>3442243.3693604</v>
      </c>
      <c r="J117" s="10" t="n">
        <v>13105585.3436102</v>
      </c>
      <c r="K117" s="11" t="n">
        <v>1.23874772989539</v>
      </c>
      <c r="L117" s="11" t="n">
        <v>0.308882413559758</v>
      </c>
      <c r="M117" s="11" t="n">
        <v>0.358639893859</v>
      </c>
      <c r="N117" s="11" t="n">
        <v>0.366619182623603</v>
      </c>
      <c r="O117" s="12" t="n">
        <v>0.254040068911198</v>
      </c>
      <c r="P117" s="12" t="n">
        <v>0.373005174352539</v>
      </c>
      <c r="Q117" s="4" t="n">
        <f aca="false">RANK(N117,$N$7:$N$307,0)</f>
        <v>111</v>
      </c>
      <c r="R117" s="4" t="n">
        <f aca="false">RANK(O117,$O$7:$O$307,1)</f>
        <v>205</v>
      </c>
      <c r="S117" s="4" t="n">
        <f aca="false">RANK(J117,$J$7:$J$307,0)</f>
        <v>72</v>
      </c>
      <c r="T117" s="4" t="str">
        <f aca="false">IF(O117&lt;0.05,"YES","no")</f>
        <v>no</v>
      </c>
      <c r="U117" s="4" t="str">
        <f aca="false">IF(P117&lt;0.05,"YES","no")</f>
        <v>no</v>
      </c>
      <c r="V117" s="4" t="str">
        <f aca="false">IF(N117&gt;1,"YES","no")</f>
        <v>no</v>
      </c>
    </row>
    <row r="118" customFormat="false" ht="15" hidden="false" customHeight="false" outlineLevel="0" collapsed="false">
      <c r="A118" s="4" t="s">
        <v>208</v>
      </c>
      <c r="B118" s="4"/>
      <c r="C118" s="4" t="s">
        <v>72</v>
      </c>
      <c r="D118" s="8" t="n">
        <v>153.01939</v>
      </c>
      <c r="E118" s="9" t="n">
        <v>4.016</v>
      </c>
      <c r="F118" s="10" t="n">
        <v>1096947.84535185</v>
      </c>
      <c r="G118" s="10" t="n">
        <v>635853.114847544</v>
      </c>
      <c r="H118" s="10" t="n">
        <v>2796401.92908216</v>
      </c>
      <c r="I118" s="10" t="n">
        <v>604112.354480742</v>
      </c>
      <c r="J118" s="10" t="n">
        <v>1946674.887217</v>
      </c>
      <c r="K118" s="11" t="n">
        <v>2.54925695960068</v>
      </c>
      <c r="L118" s="11" t="n">
        <v>1.35007680123669</v>
      </c>
      <c r="M118" s="11" t="n">
        <v>0.832201726994712</v>
      </c>
      <c r="N118" s="11" t="n">
        <v>0.360993940656002</v>
      </c>
      <c r="O118" s="12" t="n">
        <v>0.000790380685396293</v>
      </c>
      <c r="P118" s="12" t="n">
        <v>0.0201401215916247</v>
      </c>
      <c r="Q118" s="4" t="n">
        <f aca="false">RANK(N118,$N$7:$N$307,0)</f>
        <v>112</v>
      </c>
      <c r="R118" s="4" t="n">
        <f aca="false">RANK(O118,$O$7:$O$307,1)</f>
        <v>11</v>
      </c>
      <c r="S118" s="4" t="n">
        <f aca="false">RANK(J118,$J$7:$J$307,0)</f>
        <v>143</v>
      </c>
      <c r="T118" s="4" t="str">
        <f aca="false">IF(O118&lt;0.05,"YES","no")</f>
        <v>YES</v>
      </c>
      <c r="U118" s="4" t="str">
        <f aca="false">IF(P118&lt;0.05,"YES","no")</f>
        <v>YES</v>
      </c>
      <c r="V118" s="4" t="str">
        <f aca="false">IF(N118&gt;1,"YES","no")</f>
        <v>no</v>
      </c>
    </row>
    <row r="119" customFormat="false" ht="15" hidden="false" customHeight="false" outlineLevel="0" collapsed="false">
      <c r="A119" s="4" t="s">
        <v>170</v>
      </c>
      <c r="B119" s="4" t="s">
        <v>171</v>
      </c>
      <c r="C119" s="4" t="s">
        <v>61</v>
      </c>
      <c r="D119" s="8" t="n">
        <v>198.09724</v>
      </c>
      <c r="E119" s="9" t="n">
        <v>10.928</v>
      </c>
      <c r="F119" s="10" t="n">
        <v>5072213.81070475</v>
      </c>
      <c r="G119" s="10" t="n">
        <v>1554376.86058553</v>
      </c>
      <c r="H119" s="10" t="n">
        <v>6811230.62797156</v>
      </c>
      <c r="I119" s="10" t="n">
        <v>1644564.06663384</v>
      </c>
      <c r="J119" s="10" t="n">
        <v>5941722.21933816</v>
      </c>
      <c r="K119" s="11" t="n">
        <v>1.34285163878476</v>
      </c>
      <c r="L119" s="11" t="n">
        <v>0.425299921434857</v>
      </c>
      <c r="M119" s="11" t="n">
        <v>0.511505546925168</v>
      </c>
      <c r="N119" s="11" t="n">
        <v>0.353148424901114</v>
      </c>
      <c r="O119" s="12" t="n">
        <v>0.0892622208011742</v>
      </c>
      <c r="P119" s="12" t="n">
        <v>0.182827628949596</v>
      </c>
      <c r="Q119" s="4" t="n">
        <f aca="false">RANK(N119,$N$7:$N$307,0)</f>
        <v>113</v>
      </c>
      <c r="R119" s="4" t="n">
        <f aca="false">RANK(O119,$O$7:$O$307,1)</f>
        <v>146</v>
      </c>
      <c r="S119" s="4" t="n">
        <f aca="false">RANK(J119,$J$7:$J$307,0)</f>
        <v>95</v>
      </c>
      <c r="T119" s="4" t="str">
        <f aca="false">IF(O119&lt;0.05,"YES","no")</f>
        <v>no</v>
      </c>
      <c r="U119" s="4" t="str">
        <f aca="false">IF(P119&lt;0.05,"YES","no")</f>
        <v>no</v>
      </c>
      <c r="V119" s="4" t="str">
        <f aca="false">IF(N119&gt;1,"YES","no")</f>
        <v>no</v>
      </c>
    </row>
    <row r="120" customFormat="false" ht="15" hidden="false" customHeight="false" outlineLevel="0" collapsed="false">
      <c r="A120" s="4" t="s">
        <v>202</v>
      </c>
      <c r="B120" s="4"/>
      <c r="C120" s="4" t="s">
        <v>72</v>
      </c>
      <c r="D120" s="8" t="n">
        <v>204.12295</v>
      </c>
      <c r="E120" s="9" t="n">
        <v>10.705</v>
      </c>
      <c r="F120" s="10" t="n">
        <v>3571284.03924921</v>
      </c>
      <c r="G120" s="10" t="n">
        <v>2704157.00795114</v>
      </c>
      <c r="H120" s="10" t="n">
        <v>7883614.65867519</v>
      </c>
      <c r="I120" s="10" t="n">
        <v>10773049.7659575</v>
      </c>
      <c r="J120" s="10" t="n">
        <v>5727449.3489622</v>
      </c>
      <c r="K120" s="11" t="n">
        <v>2.20750143982739</v>
      </c>
      <c r="L120" s="11" t="n">
        <v>1.14241437886181</v>
      </c>
      <c r="M120" s="11" t="n">
        <v>0.287991763769323</v>
      </c>
      <c r="N120" s="11" t="n">
        <v>0.353008912810121</v>
      </c>
      <c r="O120" s="12" t="n">
        <v>0.380638381286596</v>
      </c>
      <c r="P120" s="12" t="n">
        <v>0.498139794640284</v>
      </c>
      <c r="Q120" s="4" t="n">
        <f aca="false">RANK(N120,$N$7:$N$307,0)</f>
        <v>114</v>
      </c>
      <c r="R120" s="4" t="n">
        <f aca="false">RANK(O120,$O$7:$O$307,1)</f>
        <v>230</v>
      </c>
      <c r="S120" s="4" t="n">
        <f aca="false">RANK(J120,$J$7:$J$307,0)</f>
        <v>98</v>
      </c>
      <c r="T120" s="4" t="str">
        <f aca="false">IF(O120&lt;0.05,"YES","no")</f>
        <v>no</v>
      </c>
      <c r="U120" s="4" t="str">
        <f aca="false">IF(P120&lt;0.05,"YES","no")</f>
        <v>no</v>
      </c>
      <c r="V120" s="4" t="str">
        <f aca="false">IF(N120&gt;1,"YES","no")</f>
        <v>no</v>
      </c>
    </row>
    <row r="121" customFormat="false" ht="15" hidden="false" customHeight="false" outlineLevel="0" collapsed="false">
      <c r="A121" s="4" t="s">
        <v>203</v>
      </c>
      <c r="B121" s="4"/>
      <c r="C121" s="4" t="s">
        <v>61</v>
      </c>
      <c r="D121" s="8" t="n">
        <v>132.06544</v>
      </c>
      <c r="E121" s="9" t="n">
        <v>11.124</v>
      </c>
      <c r="F121" s="10" t="n">
        <v>4545480.22097257</v>
      </c>
      <c r="G121" s="10" t="n">
        <v>3701194.76546866</v>
      </c>
      <c r="H121" s="10" t="n">
        <v>6254438.59811322</v>
      </c>
      <c r="I121" s="10" t="n">
        <v>2396557.05688554</v>
      </c>
      <c r="J121" s="10" t="n">
        <v>5399959.4095429</v>
      </c>
      <c r="K121" s="11" t="n">
        <v>1.37596871926879</v>
      </c>
      <c r="L121" s="11" t="n">
        <v>0.460447672751666</v>
      </c>
      <c r="M121" s="11" t="n">
        <v>0.287537153374231</v>
      </c>
      <c r="N121" s="11" t="n">
        <v>0.34934253654584</v>
      </c>
      <c r="O121" s="12" t="n">
        <v>0.368448716909651</v>
      </c>
      <c r="P121" s="12" t="n">
        <v>0.488426604410591</v>
      </c>
      <c r="Q121" s="4" t="n">
        <f aca="false">RANK(N121,$N$7:$N$307,0)</f>
        <v>115</v>
      </c>
      <c r="R121" s="4" t="n">
        <f aca="false">RANK(O121,$O$7:$O$307,1)</f>
        <v>226</v>
      </c>
      <c r="S121" s="4" t="n">
        <f aca="false">RANK(J121,$J$7:$J$307,0)</f>
        <v>101</v>
      </c>
      <c r="T121" s="4" t="str">
        <f aca="false">IF(O121&lt;0.05,"YES","no")</f>
        <v>no</v>
      </c>
      <c r="U121" s="4" t="str">
        <f aca="false">IF(P121&lt;0.05,"YES","no")</f>
        <v>no</v>
      </c>
      <c r="V121" s="4" t="str">
        <f aca="false">IF(N121&gt;1,"YES","no")</f>
        <v>no</v>
      </c>
    </row>
    <row r="122" customFormat="false" ht="15" hidden="false" customHeight="false" outlineLevel="0" collapsed="false">
      <c r="A122" s="4" t="s">
        <v>271</v>
      </c>
      <c r="B122" s="4"/>
      <c r="C122" s="4" t="s">
        <v>61</v>
      </c>
      <c r="D122" s="8" t="n">
        <v>168.9909</v>
      </c>
      <c r="E122" s="9" t="n">
        <v>9.562</v>
      </c>
      <c r="F122" s="10" t="n">
        <v>420722.157996979</v>
      </c>
      <c r="G122" s="10" t="n">
        <v>357090.843040148</v>
      </c>
      <c r="H122" s="10" t="n">
        <v>2191658.92368396</v>
      </c>
      <c r="I122" s="10" t="n">
        <v>1367286.51065079</v>
      </c>
      <c r="J122" s="10" t="n">
        <v>1306190.54084047</v>
      </c>
      <c r="K122" s="11" t="n">
        <v>5.20927857500603</v>
      </c>
      <c r="L122" s="11" t="n">
        <v>2.38108358971549</v>
      </c>
      <c r="M122" s="11" t="n">
        <v>0.696521715838581</v>
      </c>
      <c r="N122" s="11" t="n">
        <v>0.346461436866615</v>
      </c>
      <c r="O122" s="12" t="n">
        <v>0.0235567991431573</v>
      </c>
      <c r="P122" s="12" t="n">
        <v>0.085270148907949</v>
      </c>
      <c r="Q122" s="4" t="n">
        <f aca="false">RANK(N122,$N$7:$N$307,0)</f>
        <v>116</v>
      </c>
      <c r="R122" s="4" t="n">
        <f aca="false">RANK(O122,$O$7:$O$307,1)</f>
        <v>83</v>
      </c>
      <c r="S122" s="4" t="n">
        <f aca="false">RANK(J122,$J$7:$J$307,0)</f>
        <v>158</v>
      </c>
      <c r="T122" s="4" t="str">
        <f aca="false">IF(O122&lt;0.05,"YES","no")</f>
        <v>YES</v>
      </c>
      <c r="U122" s="4" t="str">
        <f aca="false">IF(P122&lt;0.05,"YES","no")</f>
        <v>no</v>
      </c>
      <c r="V122" s="4" t="str">
        <f aca="false">IF(N122&gt;1,"YES","no")</f>
        <v>no</v>
      </c>
    </row>
    <row r="123" customFormat="false" ht="15" hidden="false" customHeight="false" outlineLevel="0" collapsed="false">
      <c r="A123" s="4" t="s">
        <v>280</v>
      </c>
      <c r="B123" s="4"/>
      <c r="C123" s="4" t="s">
        <v>72</v>
      </c>
      <c r="D123" s="8" t="n">
        <v>341.10865</v>
      </c>
      <c r="E123" s="9" t="n">
        <v>11.556</v>
      </c>
      <c r="F123" s="10" t="n">
        <v>246770.494361231</v>
      </c>
      <c r="G123" s="10" t="n">
        <v>195392.587302699</v>
      </c>
      <c r="H123" s="10" t="n">
        <v>1780234.63149851</v>
      </c>
      <c r="I123" s="10" t="n">
        <v>1194494.87262689</v>
      </c>
      <c r="J123" s="10" t="n">
        <v>1013502.56292987</v>
      </c>
      <c r="K123" s="11" t="n">
        <v>7.21413083078133</v>
      </c>
      <c r="L123" s="11" t="n">
        <v>2.85082558714099</v>
      </c>
      <c r="M123" s="11" t="n">
        <v>0.70042571985741</v>
      </c>
      <c r="N123" s="11" t="n">
        <v>0.344071720637254</v>
      </c>
      <c r="O123" s="12" t="n">
        <v>0.0249594640682645</v>
      </c>
      <c r="P123" s="12" t="n">
        <v>0.08749099341546</v>
      </c>
      <c r="Q123" s="4" t="n">
        <f aca="false">RANK(N123,$N$7:$N$307,0)</f>
        <v>117</v>
      </c>
      <c r="R123" s="4" t="n">
        <f aca="false">RANK(O123,$O$7:$O$307,1)</f>
        <v>85</v>
      </c>
      <c r="S123" s="4" t="n">
        <f aca="false">RANK(J123,$J$7:$J$307,0)</f>
        <v>175</v>
      </c>
      <c r="T123" s="4" t="str">
        <f aca="false">IF(O123&lt;0.05,"YES","no")</f>
        <v>YES</v>
      </c>
      <c r="U123" s="4" t="str">
        <f aca="false">IF(P123&lt;0.05,"YES","no")</f>
        <v>no</v>
      </c>
      <c r="V123" s="4" t="str">
        <f aca="false">IF(N123&gt;1,"YES","no")</f>
        <v>no</v>
      </c>
    </row>
    <row r="124" customFormat="false" ht="15" hidden="false" customHeight="false" outlineLevel="0" collapsed="false">
      <c r="A124" s="4" t="s">
        <v>215</v>
      </c>
      <c r="B124" s="4"/>
      <c r="C124" s="4" t="s">
        <v>72</v>
      </c>
      <c r="D124" s="8" t="n">
        <v>229.15467</v>
      </c>
      <c r="E124" s="9" t="n">
        <v>6.868</v>
      </c>
      <c r="F124" s="10" t="n">
        <v>389083.787309411</v>
      </c>
      <c r="G124" s="10" t="n">
        <v>157839.696151512</v>
      </c>
      <c r="H124" s="10" t="n">
        <v>2014560.55610583</v>
      </c>
      <c r="I124" s="10" t="n">
        <v>1102106.42453999</v>
      </c>
      <c r="J124" s="10" t="n">
        <v>1201822.17170762</v>
      </c>
      <c r="K124" s="11" t="n">
        <v>5.1777036767245</v>
      </c>
      <c r="L124" s="11" t="n">
        <v>2.37231240124556</v>
      </c>
      <c r="M124" s="11" t="n">
        <v>0.749131700904853</v>
      </c>
      <c r="N124" s="11" t="n">
        <v>0.34180192485529</v>
      </c>
      <c r="O124" s="12" t="n">
        <v>0.0148866871059209</v>
      </c>
      <c r="P124" s="12" t="n">
        <v>0.0649404756359736</v>
      </c>
      <c r="Q124" s="4" t="n">
        <f aca="false">RANK(N124,$N$7:$N$307,0)</f>
        <v>118</v>
      </c>
      <c r="R124" s="4" t="n">
        <f aca="false">RANK(O124,$O$7:$O$307,1)</f>
        <v>69</v>
      </c>
      <c r="S124" s="4" t="n">
        <f aca="false">RANK(J124,$J$7:$J$307,0)</f>
        <v>165</v>
      </c>
      <c r="T124" s="4" t="str">
        <f aca="false">IF(O124&lt;0.05,"YES","no")</f>
        <v>YES</v>
      </c>
      <c r="U124" s="4" t="str">
        <f aca="false">IF(P124&lt;0.05,"YES","no")</f>
        <v>no</v>
      </c>
      <c r="V124" s="4" t="str">
        <f aca="false">IF(N124&gt;1,"YES","no")</f>
        <v>no</v>
      </c>
    </row>
    <row r="125" customFormat="false" ht="15" hidden="false" customHeight="false" outlineLevel="0" collapsed="false">
      <c r="A125" s="4" t="s">
        <v>163</v>
      </c>
      <c r="B125" s="4" t="s">
        <v>164</v>
      </c>
      <c r="C125" s="4" t="s">
        <v>72</v>
      </c>
      <c r="D125" s="8" t="n">
        <v>87.00868</v>
      </c>
      <c r="E125" s="9" t="n">
        <v>6.813</v>
      </c>
      <c r="F125" s="10" t="n">
        <v>9016562.07815076</v>
      </c>
      <c r="G125" s="10" t="n">
        <v>7649306.84182407</v>
      </c>
      <c r="H125" s="10" t="n">
        <v>8354227.10431075</v>
      </c>
      <c r="I125" s="10" t="n">
        <v>5931293.75356998</v>
      </c>
      <c r="J125" s="10" t="n">
        <v>8685394.59123076</v>
      </c>
      <c r="K125" s="11" t="n">
        <v>0.926542404067177</v>
      </c>
      <c r="L125" s="11" t="n">
        <v>-0.110071090855526</v>
      </c>
      <c r="M125" s="11" t="n">
        <v>0.0529288609902839</v>
      </c>
      <c r="N125" s="11" t="n">
        <v>0.330659181341296</v>
      </c>
      <c r="O125" s="12" t="n">
        <v>0.870434386404095</v>
      </c>
      <c r="P125" s="12" t="n">
        <v>0.922693381925745</v>
      </c>
      <c r="Q125" s="4" t="n">
        <f aca="false">RANK(N125,$N$7:$N$307,0)</f>
        <v>119</v>
      </c>
      <c r="R125" s="4" t="n">
        <f aca="false">RANK(O125,$O$7:$O$307,1)</f>
        <v>283</v>
      </c>
      <c r="S125" s="4" t="n">
        <f aca="false">RANK(J125,$J$7:$J$307,0)</f>
        <v>84</v>
      </c>
      <c r="T125" s="4" t="str">
        <f aca="false">IF(O125&lt;0.05,"YES","no")</f>
        <v>no</v>
      </c>
      <c r="U125" s="4" t="str">
        <f aca="false">IF(P125&lt;0.05,"YES","no")</f>
        <v>no</v>
      </c>
      <c r="V125" s="4" t="str">
        <f aca="false">IF(N125&gt;1,"YES","no")</f>
        <v>no</v>
      </c>
    </row>
    <row r="126" customFormat="false" ht="15" hidden="false" customHeight="false" outlineLevel="0" collapsed="false">
      <c r="A126" s="4" t="s">
        <v>226</v>
      </c>
      <c r="B126" s="4"/>
      <c r="C126" s="4" t="s">
        <v>61</v>
      </c>
      <c r="D126" s="8" t="n">
        <v>786.16461</v>
      </c>
      <c r="E126" s="9" t="n">
        <v>7.79</v>
      </c>
      <c r="F126" s="10" t="n">
        <v>1361614.16071545</v>
      </c>
      <c r="G126" s="10" t="n">
        <v>442159.765757252</v>
      </c>
      <c r="H126" s="10" t="n">
        <v>2807888.47691058</v>
      </c>
      <c r="I126" s="10" t="n">
        <v>694731.312979381</v>
      </c>
      <c r="J126" s="10" t="n">
        <v>2084751.31881302</v>
      </c>
      <c r="K126" s="11" t="n">
        <v>2.0621763183156</v>
      </c>
      <c r="L126" s="11" t="n">
        <v>1.04416768997305</v>
      </c>
      <c r="M126" s="11" t="n">
        <v>0.805730626969185</v>
      </c>
      <c r="N126" s="11" t="n">
        <v>0.329749517746768</v>
      </c>
      <c r="O126" s="12" t="n">
        <v>0.00227893681120566</v>
      </c>
      <c r="P126" s="12" t="n">
        <v>0.0311799990987683</v>
      </c>
      <c r="Q126" s="4" t="n">
        <f aca="false">RANK(N126,$N$7:$N$307,0)</f>
        <v>120</v>
      </c>
      <c r="R126" s="4" t="n">
        <f aca="false">RANK(O126,$O$7:$O$307,1)</f>
        <v>22</v>
      </c>
      <c r="S126" s="4" t="n">
        <f aca="false">RANK(J126,$J$7:$J$307,0)</f>
        <v>141</v>
      </c>
      <c r="T126" s="4" t="str">
        <f aca="false">IF(O126&lt;0.05,"YES","no")</f>
        <v>YES</v>
      </c>
      <c r="U126" s="4" t="str">
        <f aca="false">IF(P126&lt;0.05,"YES","no")</f>
        <v>YES</v>
      </c>
      <c r="V126" s="4" t="str">
        <f aca="false">IF(N126&gt;1,"YES","no")</f>
        <v>no</v>
      </c>
    </row>
    <row r="127" customFormat="false" ht="15" hidden="false" customHeight="false" outlineLevel="0" collapsed="false">
      <c r="A127" s="4" t="s">
        <v>269</v>
      </c>
      <c r="B127" s="4"/>
      <c r="C127" s="4" t="s">
        <v>72</v>
      </c>
      <c r="D127" s="8" t="n">
        <v>571.28961</v>
      </c>
      <c r="E127" s="9" t="n">
        <v>4.45</v>
      </c>
      <c r="F127" s="10" t="n">
        <v>557860.889165468</v>
      </c>
      <c r="G127" s="10" t="n">
        <v>457444.704689872</v>
      </c>
      <c r="H127" s="10" t="n">
        <v>1962326.12474108</v>
      </c>
      <c r="I127" s="10" t="n">
        <v>743119.858658276</v>
      </c>
      <c r="J127" s="10" t="n">
        <v>1260093.50695328</v>
      </c>
      <c r="K127" s="11" t="n">
        <v>3.51759042953634</v>
      </c>
      <c r="L127" s="11" t="n">
        <v>1.81458751246441</v>
      </c>
      <c r="M127" s="11" t="n">
        <v>0.780058591586064</v>
      </c>
      <c r="N127" s="11" t="n">
        <v>0.326189073052003</v>
      </c>
      <c r="O127" s="12" t="n">
        <v>0.00396776786398333</v>
      </c>
      <c r="P127" s="12" t="n">
        <v>0.0341228036302566</v>
      </c>
      <c r="Q127" s="4" t="n">
        <f aca="false">RANK(N127,$N$7:$N$307,0)</f>
        <v>121</v>
      </c>
      <c r="R127" s="4" t="n">
        <f aca="false">RANK(O127,$O$7:$O$307,1)</f>
        <v>35</v>
      </c>
      <c r="S127" s="4" t="n">
        <f aca="false">RANK(J127,$J$7:$J$307,0)</f>
        <v>161</v>
      </c>
      <c r="T127" s="4" t="str">
        <f aca="false">IF(O127&lt;0.05,"YES","no")</f>
        <v>YES</v>
      </c>
      <c r="U127" s="4" t="str">
        <f aca="false">IF(P127&lt;0.05,"YES","no")</f>
        <v>YES</v>
      </c>
      <c r="V127" s="4" t="str">
        <f aca="false">IF(N127&gt;1,"YES","no")</f>
        <v>no</v>
      </c>
    </row>
    <row r="128" customFormat="false" ht="15" hidden="false" customHeight="false" outlineLevel="0" collapsed="false">
      <c r="A128" s="4" t="s">
        <v>179</v>
      </c>
      <c r="B128" s="4"/>
      <c r="C128" s="4" t="s">
        <v>61</v>
      </c>
      <c r="D128" s="8" t="n">
        <v>362.05046</v>
      </c>
      <c r="E128" s="9" t="n">
        <v>10.29</v>
      </c>
      <c r="F128" s="10" t="n">
        <v>12290099.6402663</v>
      </c>
      <c r="G128" s="10" t="n">
        <v>2796803.57006718</v>
      </c>
      <c r="H128" s="10" t="n">
        <v>10095643.1704457</v>
      </c>
      <c r="I128" s="10" t="n">
        <v>3558515.85424843</v>
      </c>
      <c r="J128" s="10" t="n">
        <v>11192871.405356</v>
      </c>
      <c r="K128" s="11" t="n">
        <v>0.82144518481926</v>
      </c>
      <c r="L128" s="11" t="n">
        <v>-0.283763787792261</v>
      </c>
      <c r="M128" s="11" t="n">
        <v>0.351585667872817</v>
      </c>
      <c r="N128" s="11" t="n">
        <v>0.320349160047918</v>
      </c>
      <c r="O128" s="12" t="n">
        <v>0.263907567097208</v>
      </c>
      <c r="P128" s="12" t="n">
        <v>0.378267512839331</v>
      </c>
      <c r="Q128" s="4" t="n">
        <f aca="false">RANK(N128,$N$7:$N$307,0)</f>
        <v>122</v>
      </c>
      <c r="R128" s="4" t="n">
        <f aca="false">RANK(O128,$O$7:$O$307,1)</f>
        <v>210</v>
      </c>
      <c r="S128" s="4" t="n">
        <f aca="false">RANK(J128,$J$7:$J$307,0)</f>
        <v>77</v>
      </c>
      <c r="T128" s="4" t="str">
        <f aca="false">IF(O128&lt;0.05,"YES","no")</f>
        <v>no</v>
      </c>
      <c r="U128" s="4" t="str">
        <f aca="false">IF(P128&lt;0.05,"YES","no")</f>
        <v>no</v>
      </c>
      <c r="V128" s="4" t="str">
        <f aca="false">IF(N128&gt;1,"YES","no")</f>
        <v>no</v>
      </c>
    </row>
    <row r="129" customFormat="false" ht="15" hidden="false" customHeight="false" outlineLevel="0" collapsed="false">
      <c r="A129" s="4" t="s">
        <v>256</v>
      </c>
      <c r="B129" s="4"/>
      <c r="C129" s="4" t="s">
        <v>61</v>
      </c>
      <c r="D129" s="8" t="n">
        <v>137.02435</v>
      </c>
      <c r="E129" s="9" t="n">
        <v>4.578</v>
      </c>
      <c r="F129" s="10" t="n">
        <v>524842.742534042</v>
      </c>
      <c r="G129" s="10" t="n">
        <v>357448.964723931</v>
      </c>
      <c r="H129" s="10" t="n">
        <v>2678808.91060103</v>
      </c>
      <c r="I129" s="10" t="n">
        <v>2712839.46631032</v>
      </c>
      <c r="J129" s="10" t="n">
        <v>1601825.82656753</v>
      </c>
      <c r="K129" s="11" t="n">
        <v>5.10402201175007</v>
      </c>
      <c r="L129" s="11" t="n">
        <v>2.35163455092375</v>
      </c>
      <c r="M129" s="11" t="n">
        <v>0.52060451378996</v>
      </c>
      <c r="N129" s="11" t="n">
        <v>0.317414499542953</v>
      </c>
      <c r="O129" s="12" t="n">
        <v>0.109810366532868</v>
      </c>
      <c r="P129" s="12" t="n">
        <v>0.206740551240264</v>
      </c>
      <c r="Q129" s="4" t="n">
        <f aca="false">RANK(N129,$N$7:$N$307,0)</f>
        <v>123</v>
      </c>
      <c r="R129" s="4" t="n">
        <f aca="false">RANK(O129,$O$7:$O$307,1)</f>
        <v>159</v>
      </c>
      <c r="S129" s="4" t="n">
        <f aca="false">RANK(J129,$J$7:$J$307,0)</f>
        <v>149</v>
      </c>
      <c r="T129" s="4" t="str">
        <f aca="false">IF(O129&lt;0.05,"YES","no")</f>
        <v>no</v>
      </c>
      <c r="U129" s="4" t="str">
        <f aca="false">IF(P129&lt;0.05,"YES","no")</f>
        <v>no</v>
      </c>
      <c r="V129" s="4" t="str">
        <f aca="false">IF(N129&gt;1,"YES","no")</f>
        <v>no</v>
      </c>
    </row>
    <row r="130" customFormat="false" ht="15" hidden="false" customHeight="false" outlineLevel="0" collapsed="false">
      <c r="A130" s="4" t="s">
        <v>241</v>
      </c>
      <c r="B130" s="4"/>
      <c r="C130" s="4" t="s">
        <v>72</v>
      </c>
      <c r="D130" s="8" t="n">
        <v>189.14845</v>
      </c>
      <c r="E130" s="9" t="n">
        <v>5.023</v>
      </c>
      <c r="F130" s="10" t="n">
        <v>1030992.38582233</v>
      </c>
      <c r="G130" s="10" t="n">
        <v>365500.949230032</v>
      </c>
      <c r="H130" s="10" t="n">
        <v>2139534.33264809</v>
      </c>
      <c r="I130" s="10" t="n">
        <v>615675.171866745</v>
      </c>
      <c r="J130" s="10" t="n">
        <v>1585263.35923521</v>
      </c>
      <c r="K130" s="11" t="n">
        <v>2.07521836443203</v>
      </c>
      <c r="L130" s="11" t="n">
        <v>1.05326315174051</v>
      </c>
      <c r="M130" s="11" t="n">
        <v>0.768030831949203</v>
      </c>
      <c r="N130" s="11" t="n">
        <v>0.315771236175177</v>
      </c>
      <c r="O130" s="12" t="n">
        <v>0.00513278600182195</v>
      </c>
      <c r="P130" s="12" t="n">
        <v>0.0370084619756228</v>
      </c>
      <c r="Q130" s="4" t="n">
        <f aca="false">RANK(N130,$N$7:$N$307,0)</f>
        <v>124</v>
      </c>
      <c r="R130" s="4" t="n">
        <f aca="false">RANK(O130,$O$7:$O$307,1)</f>
        <v>41</v>
      </c>
      <c r="S130" s="4" t="n">
        <f aca="false">RANK(J130,$J$7:$J$307,0)</f>
        <v>151</v>
      </c>
      <c r="T130" s="4" t="str">
        <f aca="false">IF(O130&lt;0.05,"YES","no")</f>
        <v>YES</v>
      </c>
      <c r="U130" s="4" t="str">
        <f aca="false">IF(P130&lt;0.05,"YES","no")</f>
        <v>YES</v>
      </c>
      <c r="V130" s="4" t="str">
        <f aca="false">IF(N130&gt;1,"YES","no")</f>
        <v>no</v>
      </c>
    </row>
    <row r="131" customFormat="false" ht="15" hidden="false" customHeight="false" outlineLevel="0" collapsed="false">
      <c r="A131" s="4" t="s">
        <v>200</v>
      </c>
      <c r="B131" s="4"/>
      <c r="C131" s="4" t="s">
        <v>61</v>
      </c>
      <c r="D131" s="8" t="n">
        <v>426.02172</v>
      </c>
      <c r="E131" s="9" t="n">
        <v>10.067</v>
      </c>
      <c r="F131" s="10" t="n">
        <v>3481009.83226902</v>
      </c>
      <c r="G131" s="10" t="n">
        <v>2353500.03763108</v>
      </c>
      <c r="H131" s="10" t="n">
        <v>3073378.54420311</v>
      </c>
      <c r="I131" s="10" t="n">
        <v>1378419.23513867</v>
      </c>
      <c r="J131" s="10" t="n">
        <v>3277194.18823606</v>
      </c>
      <c r="K131" s="11" t="n">
        <v>0.882898553090211</v>
      </c>
      <c r="L131" s="11" t="n">
        <v>-0.179680416200152</v>
      </c>
      <c r="M131" s="11" t="n">
        <v>0.11499922315659</v>
      </c>
      <c r="N131" s="11" t="n">
        <v>0.298859380916036</v>
      </c>
      <c r="O131" s="12" t="n">
        <v>0.723711552205238</v>
      </c>
      <c r="P131" s="12" t="n">
        <v>0.809803632764968</v>
      </c>
      <c r="Q131" s="4" t="n">
        <f aca="false">RANK(N131,$N$7:$N$307,0)</f>
        <v>125</v>
      </c>
      <c r="R131" s="4" t="n">
        <f aca="false">RANK(O131,$O$7:$O$307,1)</f>
        <v>269</v>
      </c>
      <c r="S131" s="4" t="n">
        <f aca="false">RANK(J131,$J$7:$J$307,0)</f>
        <v>121</v>
      </c>
      <c r="T131" s="4" t="str">
        <f aca="false">IF(O131&lt;0.05,"YES","no")</f>
        <v>no</v>
      </c>
      <c r="U131" s="4" t="str">
        <f aca="false">IF(P131&lt;0.05,"YES","no")</f>
        <v>no</v>
      </c>
      <c r="V131" s="4" t="str">
        <f aca="false">IF(N131&gt;1,"YES","no")</f>
        <v>no</v>
      </c>
    </row>
    <row r="132" customFormat="false" ht="15" hidden="false" customHeight="false" outlineLevel="0" collapsed="false">
      <c r="A132" s="4" t="s">
        <v>155</v>
      </c>
      <c r="B132" s="4"/>
      <c r="C132" s="4" t="s">
        <v>61</v>
      </c>
      <c r="D132" s="8" t="n">
        <v>195.051</v>
      </c>
      <c r="E132" s="9" t="n">
        <v>9.672</v>
      </c>
      <c r="F132" s="10" t="n">
        <v>2827371.33325765</v>
      </c>
      <c r="G132" s="10" t="n">
        <v>1083876.69782698</v>
      </c>
      <c r="H132" s="10" t="n">
        <v>4501490.24683563</v>
      </c>
      <c r="I132" s="10" t="n">
        <v>1478721.53296095</v>
      </c>
      <c r="J132" s="10" t="n">
        <v>3664430.79004664</v>
      </c>
      <c r="K132" s="11" t="n">
        <v>1.5921114407173</v>
      </c>
      <c r="L132" s="11" t="n">
        <v>0.67094132164997</v>
      </c>
      <c r="M132" s="11" t="n">
        <v>0.577453462458783</v>
      </c>
      <c r="N132" s="11" t="n">
        <v>0.295378709210064</v>
      </c>
      <c r="O132" s="12" t="n">
        <v>0.0515995193314323</v>
      </c>
      <c r="P132" s="12" t="n">
        <v>0.127934238480801</v>
      </c>
      <c r="Q132" s="4" t="n">
        <f aca="false">RANK(N132,$N$7:$N$307,0)</f>
        <v>126</v>
      </c>
      <c r="R132" s="4" t="n">
        <f aca="false">RANK(O132,$O$7:$O$307,1)</f>
        <v>120</v>
      </c>
      <c r="S132" s="4" t="n">
        <f aca="false">RANK(J132,$J$7:$J$307,0)</f>
        <v>117</v>
      </c>
      <c r="T132" s="4" t="str">
        <f aca="false">IF(O132&lt;0.05,"YES","no")</f>
        <v>no</v>
      </c>
      <c r="U132" s="4" t="str">
        <f aca="false">IF(P132&lt;0.05,"YES","no")</f>
        <v>no</v>
      </c>
      <c r="V132" s="4" t="str">
        <f aca="false">IF(N132&gt;1,"YES","no")</f>
        <v>no</v>
      </c>
    </row>
    <row r="133" customFormat="false" ht="15" hidden="false" customHeight="false" outlineLevel="0" collapsed="false">
      <c r="A133" s="4" t="s">
        <v>201</v>
      </c>
      <c r="B133" s="4"/>
      <c r="C133" s="4" t="s">
        <v>61</v>
      </c>
      <c r="D133" s="8" t="n">
        <v>157.03674</v>
      </c>
      <c r="E133" s="9" t="n">
        <v>10.553</v>
      </c>
      <c r="F133" s="10" t="n">
        <v>2015986.76031292</v>
      </c>
      <c r="G133" s="10" t="n">
        <v>585687.026655916</v>
      </c>
      <c r="H133" s="10" t="n">
        <v>3258200.81822716</v>
      </c>
      <c r="I133" s="10" t="n">
        <v>866535.477887988</v>
      </c>
      <c r="J133" s="10" t="n">
        <v>2637093.78927004</v>
      </c>
      <c r="K133" s="11" t="n">
        <v>1.6161816547453</v>
      </c>
      <c r="L133" s="11" t="n">
        <v>0.692589362490394</v>
      </c>
      <c r="M133" s="11" t="n">
        <v>0.677050485687621</v>
      </c>
      <c r="N133" s="11" t="n">
        <v>0.294557326122358</v>
      </c>
      <c r="O133" s="12" t="n">
        <v>0.017782069246181</v>
      </c>
      <c r="P133" s="12" t="n">
        <v>0.0710387720344875</v>
      </c>
      <c r="Q133" s="4" t="n">
        <f aca="false">RANK(N133,$N$7:$N$307,0)</f>
        <v>127</v>
      </c>
      <c r="R133" s="4" t="n">
        <f aca="false">RANK(O133,$O$7:$O$307,1)</f>
        <v>75</v>
      </c>
      <c r="S133" s="4" t="n">
        <f aca="false">RANK(J133,$J$7:$J$307,0)</f>
        <v>128</v>
      </c>
      <c r="T133" s="4" t="str">
        <f aca="false">IF(O133&lt;0.05,"YES","no")</f>
        <v>YES</v>
      </c>
      <c r="U133" s="4" t="str">
        <f aca="false">IF(P133&lt;0.05,"YES","no")</f>
        <v>no</v>
      </c>
      <c r="V133" s="4" t="str">
        <f aca="false">IF(N133&gt;1,"YES","no")</f>
        <v>no</v>
      </c>
    </row>
    <row r="134" customFormat="false" ht="15" hidden="false" customHeight="false" outlineLevel="0" collapsed="false">
      <c r="A134" s="4" t="s">
        <v>186</v>
      </c>
      <c r="B134" s="4" t="s">
        <v>187</v>
      </c>
      <c r="C134" s="4" t="s">
        <v>61</v>
      </c>
      <c r="D134" s="8" t="n">
        <v>131.04618</v>
      </c>
      <c r="E134" s="9" t="n">
        <v>11.044</v>
      </c>
      <c r="F134" s="10" t="n">
        <v>2352274.63365561</v>
      </c>
      <c r="G134" s="10" t="n">
        <v>670471.461121527</v>
      </c>
      <c r="H134" s="10" t="n">
        <v>3610548.2871791</v>
      </c>
      <c r="I134" s="10" t="n">
        <v>564297.557892371</v>
      </c>
      <c r="J134" s="10" t="n">
        <v>2981411.46041736</v>
      </c>
      <c r="K134" s="11" t="n">
        <v>1.53491783464418</v>
      </c>
      <c r="L134" s="11" t="n">
        <v>0.618161429065113</v>
      </c>
      <c r="M134" s="11" t="n">
        <v>0.743617940224233</v>
      </c>
      <c r="N134" s="11" t="n">
        <v>0.289900448594188</v>
      </c>
      <c r="O134" s="12" t="n">
        <v>0.00581498721480695</v>
      </c>
      <c r="P134" s="12" t="n">
        <v>0.0388958033701531</v>
      </c>
      <c r="Q134" s="4" t="n">
        <f aca="false">RANK(N134,$N$7:$N$307,0)</f>
        <v>128</v>
      </c>
      <c r="R134" s="4" t="n">
        <f aca="false">RANK(O134,$O$7:$O$307,1)</f>
        <v>45</v>
      </c>
      <c r="S134" s="4" t="n">
        <f aca="false">RANK(J134,$J$7:$J$307,0)</f>
        <v>122</v>
      </c>
      <c r="T134" s="4" t="str">
        <f aca="false">IF(O134&lt;0.05,"YES","no")</f>
        <v>YES</v>
      </c>
      <c r="U134" s="4" t="str">
        <f aca="false">IF(P134&lt;0.05,"YES","no")</f>
        <v>YES</v>
      </c>
      <c r="V134" s="4" t="str">
        <f aca="false">IF(N134&gt;1,"YES","no")</f>
        <v>no</v>
      </c>
    </row>
    <row r="135" customFormat="false" ht="15" hidden="false" customHeight="false" outlineLevel="0" collapsed="false">
      <c r="A135" s="4" t="s">
        <v>225</v>
      </c>
      <c r="B135" s="4"/>
      <c r="C135" s="4" t="s">
        <v>61</v>
      </c>
      <c r="D135" s="8" t="n">
        <v>111.01993</v>
      </c>
      <c r="E135" s="9" t="n">
        <v>7.507</v>
      </c>
      <c r="F135" s="10" t="n">
        <v>2819249.9337095</v>
      </c>
      <c r="G135" s="10" t="n">
        <v>957568.112246836</v>
      </c>
      <c r="H135" s="10" t="n">
        <v>4481457.51311186</v>
      </c>
      <c r="I135" s="10" t="n">
        <v>1774511.10638701</v>
      </c>
      <c r="J135" s="10" t="n">
        <v>3650353.72341068</v>
      </c>
      <c r="K135" s="11" t="n">
        <v>1.58959213212263</v>
      </c>
      <c r="L135" s="11" t="n">
        <v>0.668656636925338</v>
      </c>
      <c r="M135" s="11" t="n">
        <v>0.538179000259902</v>
      </c>
      <c r="N135" s="11" t="n">
        <v>0.288522559764737</v>
      </c>
      <c r="O135" s="12" t="n">
        <v>0.0796093464683597</v>
      </c>
      <c r="P135" s="12" t="n">
        <v>0.169946193524654</v>
      </c>
      <c r="Q135" s="4" t="n">
        <f aca="false">RANK(N135,$N$7:$N$307,0)</f>
        <v>129</v>
      </c>
      <c r="R135" s="4" t="n">
        <f aca="false">RANK(O135,$O$7:$O$307,1)</f>
        <v>141</v>
      </c>
      <c r="S135" s="4" t="n">
        <f aca="false">RANK(J135,$J$7:$J$307,0)</f>
        <v>118</v>
      </c>
      <c r="T135" s="4" t="str">
        <f aca="false">IF(O135&lt;0.05,"YES","no")</f>
        <v>no</v>
      </c>
      <c r="U135" s="4" t="str">
        <f aca="false">IF(P135&lt;0.05,"YES","no")</f>
        <v>no</v>
      </c>
      <c r="V135" s="4" t="str">
        <f aca="false">IF(N135&gt;1,"YES","no")</f>
        <v>no</v>
      </c>
    </row>
    <row r="136" customFormat="false" ht="15" hidden="false" customHeight="false" outlineLevel="0" collapsed="false">
      <c r="A136" s="4" t="s">
        <v>156</v>
      </c>
      <c r="B136" s="4" t="s">
        <v>157</v>
      </c>
      <c r="C136" s="4" t="s">
        <v>72</v>
      </c>
      <c r="D136" s="8" t="n">
        <v>137.0709</v>
      </c>
      <c r="E136" s="9" t="n">
        <v>7.233</v>
      </c>
      <c r="F136" s="10" t="n">
        <v>41981480.506624</v>
      </c>
      <c r="G136" s="10" t="n">
        <v>8085002.25635362</v>
      </c>
      <c r="H136" s="10" t="n">
        <v>39061606.0095449</v>
      </c>
      <c r="I136" s="10" t="n">
        <v>16109527.9943955</v>
      </c>
      <c r="J136" s="10" t="n">
        <v>40521543.2580845</v>
      </c>
      <c r="K136" s="11" t="n">
        <v>0.930448510585082</v>
      </c>
      <c r="L136" s="11" t="n">
        <v>-0.104001778647948</v>
      </c>
      <c r="M136" s="11" t="n">
        <v>0.124503951035987</v>
      </c>
      <c r="N136" s="11" t="n">
        <v>0.287627914938627</v>
      </c>
      <c r="O136" s="12" t="n">
        <v>0.702755092370758</v>
      </c>
      <c r="P136" s="12" t="n">
        <v>0.7952228676827</v>
      </c>
      <c r="Q136" s="4" t="n">
        <f aca="false">RANK(N136,$N$7:$N$307,0)</f>
        <v>130</v>
      </c>
      <c r="R136" s="4" t="n">
        <f aca="false">RANK(O136,$O$7:$O$307,1)</f>
        <v>266</v>
      </c>
      <c r="S136" s="4" t="n">
        <f aca="false">RANK(J136,$J$7:$J$307,0)</f>
        <v>37</v>
      </c>
      <c r="T136" s="4" t="str">
        <f aca="false">IF(O136&lt;0.05,"YES","no")</f>
        <v>no</v>
      </c>
      <c r="U136" s="4" t="str">
        <f aca="false">IF(P136&lt;0.05,"YES","no")</f>
        <v>no</v>
      </c>
      <c r="V136" s="4" t="str">
        <f aca="false">IF(N136&gt;1,"YES","no")</f>
        <v>no</v>
      </c>
    </row>
    <row r="137" customFormat="false" ht="15" hidden="false" customHeight="false" outlineLevel="0" collapsed="false">
      <c r="A137" s="4" t="s">
        <v>318</v>
      </c>
      <c r="B137" s="4" t="s">
        <v>319</v>
      </c>
      <c r="C137" s="4" t="s">
        <v>61</v>
      </c>
      <c r="D137" s="8" t="n">
        <v>291.12984</v>
      </c>
      <c r="E137" s="9" t="n">
        <v>10.713</v>
      </c>
      <c r="F137" s="10" t="n">
        <v>492847.521794859</v>
      </c>
      <c r="G137" s="10" t="n">
        <v>327244.116302747</v>
      </c>
      <c r="H137" s="10" t="n">
        <v>1714860.61052404</v>
      </c>
      <c r="I137" s="10" t="n">
        <v>944110.999860589</v>
      </c>
      <c r="J137" s="10" t="n">
        <v>1103854.06615945</v>
      </c>
      <c r="K137" s="11" t="n">
        <v>3.47949524891357</v>
      </c>
      <c r="L137" s="11" t="n">
        <v>1.79887803748066</v>
      </c>
      <c r="M137" s="11" t="n">
        <v>0.687721976092406</v>
      </c>
      <c r="N137" s="11" t="n">
        <v>0.278004382327992</v>
      </c>
      <c r="O137" s="12" t="n">
        <v>0.0232713852237327</v>
      </c>
      <c r="P137" s="12" t="n">
        <v>0.085270148907949</v>
      </c>
      <c r="Q137" s="4" t="n">
        <f aca="false">RANK(N137,$N$7:$N$307,0)</f>
        <v>131</v>
      </c>
      <c r="R137" s="4" t="n">
        <f aca="false">RANK(O137,$O$7:$O$307,1)</f>
        <v>82</v>
      </c>
      <c r="S137" s="4" t="n">
        <f aca="false">RANK(J137,$J$7:$J$307,0)</f>
        <v>168</v>
      </c>
      <c r="T137" s="4" t="str">
        <f aca="false">IF(O137&lt;0.05,"YES","no")</f>
        <v>YES</v>
      </c>
      <c r="U137" s="4" t="str">
        <f aca="false">IF(P137&lt;0.05,"YES","no")</f>
        <v>no</v>
      </c>
      <c r="V137" s="4" t="str">
        <f aca="false">IF(N137&gt;1,"YES","no")</f>
        <v>no</v>
      </c>
    </row>
    <row r="138" customFormat="false" ht="15" hidden="false" customHeight="false" outlineLevel="0" collapsed="false">
      <c r="A138" s="4" t="s">
        <v>192</v>
      </c>
      <c r="B138" s="4"/>
      <c r="C138" s="4" t="s">
        <v>61</v>
      </c>
      <c r="D138" s="8" t="n">
        <v>212.00228</v>
      </c>
      <c r="E138" s="9" t="n">
        <v>5.005</v>
      </c>
      <c r="F138" s="10" t="n">
        <v>1204205.11710419</v>
      </c>
      <c r="G138" s="10" t="n">
        <v>1057046.37993209</v>
      </c>
      <c r="H138" s="10" t="n">
        <v>2600471.36520436</v>
      </c>
      <c r="I138" s="10" t="n">
        <v>1012842.43131602</v>
      </c>
      <c r="J138" s="10" t="n">
        <v>1902338.24115428</v>
      </c>
      <c r="K138" s="11" t="n">
        <v>2.15949204024132</v>
      </c>
      <c r="L138" s="11" t="n">
        <v>1.11069199886698</v>
      </c>
      <c r="M138" s="11" t="n">
        <v>0.594206736925012</v>
      </c>
      <c r="N138" s="11" t="n">
        <v>0.275099776994648</v>
      </c>
      <c r="O138" s="12" t="n">
        <v>0.0416509448619811</v>
      </c>
      <c r="P138" s="12" t="n">
        <v>0.1150177468207</v>
      </c>
      <c r="Q138" s="4" t="n">
        <f aca="false">RANK(N138,$N$7:$N$307,0)</f>
        <v>132</v>
      </c>
      <c r="R138" s="4" t="n">
        <f aca="false">RANK(O138,$O$7:$O$307,1)</f>
        <v>109</v>
      </c>
      <c r="S138" s="4" t="n">
        <f aca="false">RANK(J138,$J$7:$J$307,0)</f>
        <v>144</v>
      </c>
      <c r="T138" s="4" t="str">
        <f aca="false">IF(O138&lt;0.05,"YES","no")</f>
        <v>YES</v>
      </c>
      <c r="U138" s="4" t="str">
        <f aca="false">IF(P138&lt;0.05,"YES","no")</f>
        <v>no</v>
      </c>
      <c r="V138" s="4" t="str">
        <f aca="false">IF(N138&gt;1,"YES","no")</f>
        <v>no</v>
      </c>
    </row>
    <row r="139" customFormat="false" ht="15" hidden="false" customHeight="false" outlineLevel="0" collapsed="false">
      <c r="A139" s="4" t="s">
        <v>131</v>
      </c>
      <c r="B139" s="4"/>
      <c r="C139" s="4" t="s">
        <v>61</v>
      </c>
      <c r="D139" s="8" t="n">
        <v>323.02841</v>
      </c>
      <c r="E139" s="9" t="n">
        <v>9.303</v>
      </c>
      <c r="F139" s="10" t="n">
        <v>10077402.8861438</v>
      </c>
      <c r="G139" s="10" t="n">
        <v>2927138.13624405</v>
      </c>
      <c r="H139" s="10" t="n">
        <v>12641569.3703266</v>
      </c>
      <c r="I139" s="10" t="n">
        <v>5264742.24744705</v>
      </c>
      <c r="J139" s="10" t="n">
        <v>11359486.1282352</v>
      </c>
      <c r="K139" s="11" t="n">
        <v>1.25444715400914</v>
      </c>
      <c r="L139" s="11" t="n">
        <v>0.327051695733287</v>
      </c>
      <c r="M139" s="11" t="n">
        <v>0.31314356392048</v>
      </c>
      <c r="N139" s="11" t="n">
        <v>0.273339402115697</v>
      </c>
      <c r="O139" s="12" t="n">
        <v>0.328245526229021</v>
      </c>
      <c r="P139" s="12" t="n">
        <v>0.44909956088607</v>
      </c>
      <c r="Q139" s="4" t="n">
        <f aca="false">RANK(N139,$N$7:$N$307,0)</f>
        <v>133</v>
      </c>
      <c r="R139" s="4" t="n">
        <f aca="false">RANK(O139,$O$7:$O$307,1)</f>
        <v>220</v>
      </c>
      <c r="S139" s="4" t="n">
        <f aca="false">RANK(J139,$J$7:$J$307,0)</f>
        <v>76</v>
      </c>
      <c r="T139" s="4" t="str">
        <f aca="false">IF(O139&lt;0.05,"YES","no")</f>
        <v>no</v>
      </c>
      <c r="U139" s="4" t="str">
        <f aca="false">IF(P139&lt;0.05,"YES","no")</f>
        <v>no</v>
      </c>
      <c r="V139" s="4" t="str">
        <f aca="false">IF(N139&gt;1,"YES","no")</f>
        <v>no</v>
      </c>
    </row>
    <row r="140" customFormat="false" ht="15" hidden="false" customHeight="false" outlineLevel="0" collapsed="false">
      <c r="A140" s="4" t="s">
        <v>193</v>
      </c>
      <c r="B140" s="4" t="s">
        <v>194</v>
      </c>
      <c r="C140" s="4" t="s">
        <v>72</v>
      </c>
      <c r="D140" s="8" t="n">
        <v>123.05519</v>
      </c>
      <c r="E140" s="9" t="n">
        <v>7.786</v>
      </c>
      <c r="F140" s="10" t="n">
        <v>3333843.95885979</v>
      </c>
      <c r="G140" s="10" t="n">
        <v>1304052.06090136</v>
      </c>
      <c r="H140" s="10" t="n">
        <v>4754064.11120203</v>
      </c>
      <c r="I140" s="10" t="n">
        <v>1577814.02718404</v>
      </c>
      <c r="J140" s="10" t="n">
        <v>4043954.03503091</v>
      </c>
      <c r="K140" s="11" t="n">
        <v>1.42600078763973</v>
      </c>
      <c r="L140" s="11" t="n">
        <v>0.511974778642685</v>
      </c>
      <c r="M140" s="11" t="n">
        <v>0.473395143490052</v>
      </c>
      <c r="N140" s="11" t="n">
        <v>0.270692117451141</v>
      </c>
      <c r="O140" s="12" t="n">
        <v>0.121144561139611</v>
      </c>
      <c r="P140" s="12" t="n">
        <v>0.218350376664808</v>
      </c>
      <c r="Q140" s="4" t="n">
        <f aca="false">RANK(N140,$N$7:$N$307,0)</f>
        <v>134</v>
      </c>
      <c r="R140" s="4" t="n">
        <f aca="false">RANK(O140,$O$7:$O$307,1)</f>
        <v>167</v>
      </c>
      <c r="S140" s="4" t="n">
        <f aca="false">RANK(J140,$J$7:$J$307,0)</f>
        <v>112</v>
      </c>
      <c r="T140" s="4" t="str">
        <f aca="false">IF(O140&lt;0.05,"YES","no")</f>
        <v>no</v>
      </c>
      <c r="U140" s="4" t="str">
        <f aca="false">IF(P140&lt;0.05,"YES","no")</f>
        <v>no</v>
      </c>
      <c r="V140" s="4" t="str">
        <f aca="false">IF(N140&gt;1,"YES","no")</f>
        <v>no</v>
      </c>
    </row>
    <row r="141" customFormat="false" ht="15" hidden="false" customHeight="false" outlineLevel="0" collapsed="false">
      <c r="A141" s="4" t="s">
        <v>227</v>
      </c>
      <c r="B141" s="4" t="s">
        <v>228</v>
      </c>
      <c r="C141" s="4" t="s">
        <v>72</v>
      </c>
      <c r="D141" s="8" t="n">
        <v>399.14458</v>
      </c>
      <c r="E141" s="9" t="n">
        <v>13.827</v>
      </c>
      <c r="F141" s="10" t="n">
        <v>3667856.78453756</v>
      </c>
      <c r="G141" s="10" t="n">
        <v>1853319.67780294</v>
      </c>
      <c r="H141" s="10" t="n">
        <v>3703045.2290229</v>
      </c>
      <c r="I141" s="10" t="n">
        <v>1893952.96278942</v>
      </c>
      <c r="J141" s="10" t="n">
        <v>3685451.00678023</v>
      </c>
      <c r="K141" s="11" t="n">
        <v>1.00959373458464</v>
      </c>
      <c r="L141" s="11" t="n">
        <v>0.0137748622717371</v>
      </c>
      <c r="M141" s="11" t="n">
        <v>0.0102855352182213</v>
      </c>
      <c r="N141" s="11" t="n">
        <v>0.269603494137587</v>
      </c>
      <c r="O141" s="12" t="n">
        <v>0.974691807015232</v>
      </c>
      <c r="P141" s="12" t="n">
        <v>0.977940779705283</v>
      </c>
      <c r="Q141" s="4" t="n">
        <f aca="false">RANK(N141,$N$7:$N$307,0)</f>
        <v>135</v>
      </c>
      <c r="R141" s="4" t="n">
        <f aca="false">RANK(O141,$O$7:$O$307,1)</f>
        <v>300</v>
      </c>
      <c r="S141" s="4" t="n">
        <f aca="false">RANK(J141,$J$7:$J$307,0)</f>
        <v>116</v>
      </c>
      <c r="T141" s="4" t="str">
        <f aca="false">IF(O141&lt;0.05,"YES","no")</f>
        <v>no</v>
      </c>
      <c r="U141" s="4" t="str">
        <f aca="false">IF(P141&lt;0.05,"YES","no")</f>
        <v>no</v>
      </c>
      <c r="V141" s="4" t="str">
        <f aca="false">IF(N141&gt;1,"YES","no")</f>
        <v>no</v>
      </c>
    </row>
    <row r="142" customFormat="false" ht="15" hidden="false" customHeight="false" outlineLevel="0" collapsed="false">
      <c r="A142" s="4" t="s">
        <v>213</v>
      </c>
      <c r="B142" s="4"/>
      <c r="C142" s="4" t="s">
        <v>72</v>
      </c>
      <c r="D142" s="8" t="n">
        <v>87.04504</v>
      </c>
      <c r="E142" s="9" t="n">
        <v>6.833</v>
      </c>
      <c r="F142" s="10" t="n">
        <v>2211823.5490877</v>
      </c>
      <c r="G142" s="10" t="n">
        <v>2374131.40707221</v>
      </c>
      <c r="H142" s="10" t="n">
        <v>2378086.76088546</v>
      </c>
      <c r="I142" s="10" t="n">
        <v>363749.003286645</v>
      </c>
      <c r="J142" s="10" t="n">
        <v>2294955.15498658</v>
      </c>
      <c r="K142" s="11" t="n">
        <v>1.07517019694738</v>
      </c>
      <c r="L142" s="11" t="n">
        <v>0.104565053169656</v>
      </c>
      <c r="M142" s="11" t="n">
        <v>0.0535432982108952</v>
      </c>
      <c r="N142" s="11" t="n">
        <v>0.269265488708742</v>
      </c>
      <c r="O142" s="12" t="n">
        <v>0.871713978485236</v>
      </c>
      <c r="P142" s="12" t="n">
        <v>0.922693381925745</v>
      </c>
      <c r="Q142" s="4" t="n">
        <f aca="false">RANK(N142,$N$7:$N$307,0)</f>
        <v>136</v>
      </c>
      <c r="R142" s="4" t="n">
        <f aca="false">RANK(O142,$O$7:$O$307,1)</f>
        <v>284</v>
      </c>
      <c r="S142" s="4" t="n">
        <f aca="false">RANK(J142,$J$7:$J$307,0)</f>
        <v>137</v>
      </c>
      <c r="T142" s="4" t="str">
        <f aca="false">IF(O142&lt;0.05,"YES","no")</f>
        <v>no</v>
      </c>
      <c r="U142" s="4" t="str">
        <f aca="false">IF(P142&lt;0.05,"YES","no")</f>
        <v>no</v>
      </c>
      <c r="V142" s="4" t="str">
        <f aca="false">IF(N142&gt;1,"YES","no")</f>
        <v>no</v>
      </c>
    </row>
    <row r="143" customFormat="false" ht="15" hidden="false" customHeight="false" outlineLevel="0" collapsed="false">
      <c r="A143" s="4" t="s">
        <v>217</v>
      </c>
      <c r="B143" s="4"/>
      <c r="C143" s="4" t="s">
        <v>61</v>
      </c>
      <c r="D143" s="8" t="n">
        <v>178.05098</v>
      </c>
      <c r="E143" s="9" t="n">
        <v>5.022</v>
      </c>
      <c r="F143" s="10" t="n">
        <v>405771.647377944</v>
      </c>
      <c r="G143" s="10" t="n">
        <v>442776.765200775</v>
      </c>
      <c r="H143" s="10" t="n">
        <v>1376718.69844407</v>
      </c>
      <c r="I143" s="10" t="n">
        <v>1090955.56167273</v>
      </c>
      <c r="J143" s="10" t="n">
        <v>891245.172911007</v>
      </c>
      <c r="K143" s="11" t="n">
        <v>3.39284104086692</v>
      </c>
      <c r="L143" s="11" t="n">
        <v>1.7624938394432</v>
      </c>
      <c r="M143" s="11" t="n">
        <v>0.538325329233708</v>
      </c>
      <c r="N143" s="11" t="n">
        <v>0.268538733638376</v>
      </c>
      <c r="O143" s="12" t="n">
        <v>0.0855667299508571</v>
      </c>
      <c r="P143" s="12" t="n">
        <v>0.180108991015441</v>
      </c>
      <c r="Q143" s="4" t="n">
        <f aca="false">RANK(N143,$N$7:$N$307,0)</f>
        <v>137</v>
      </c>
      <c r="R143" s="4" t="n">
        <f aca="false">RANK(O143,$O$7:$O$307,1)</f>
        <v>143</v>
      </c>
      <c r="S143" s="4" t="n">
        <f aca="false">RANK(J143,$J$7:$J$307,0)</f>
        <v>183</v>
      </c>
      <c r="T143" s="4" t="str">
        <f aca="false">IF(O143&lt;0.05,"YES","no")</f>
        <v>no</v>
      </c>
      <c r="U143" s="4" t="str">
        <f aca="false">IF(P143&lt;0.05,"YES","no")</f>
        <v>no</v>
      </c>
      <c r="V143" s="4" t="str">
        <f aca="false">IF(N143&gt;1,"YES","no")</f>
        <v>no</v>
      </c>
    </row>
    <row r="144" customFormat="false" ht="15" hidden="false" customHeight="false" outlineLevel="0" collapsed="false">
      <c r="A144" s="4" t="s">
        <v>221</v>
      </c>
      <c r="B144" s="4"/>
      <c r="C144" s="4" t="s">
        <v>72</v>
      </c>
      <c r="D144" s="8" t="n">
        <v>207.99828</v>
      </c>
      <c r="E144" s="9" t="n">
        <v>9.816</v>
      </c>
      <c r="F144" s="10" t="n">
        <v>4565553.06367135</v>
      </c>
      <c r="G144" s="10" t="n">
        <v>773661.986846935</v>
      </c>
      <c r="H144" s="10" t="n">
        <v>3210208.50135924</v>
      </c>
      <c r="I144" s="10" t="n">
        <v>1403828.60527733</v>
      </c>
      <c r="J144" s="10" t="n">
        <v>3887880.7825153</v>
      </c>
      <c r="K144" s="11" t="n">
        <v>0.703136828460773</v>
      </c>
      <c r="L144" s="11" t="n">
        <v>-0.50812263384894</v>
      </c>
      <c r="M144" s="11" t="n">
        <v>0.547905635974733</v>
      </c>
      <c r="N144" s="11" t="n">
        <v>0.266224441789331</v>
      </c>
      <c r="O144" s="12" t="n">
        <v>0.073078345742354</v>
      </c>
      <c r="P144" s="12" t="n">
        <v>0.160906939876116</v>
      </c>
      <c r="Q144" s="4" t="n">
        <f aca="false">RANK(N144,$N$7:$N$307,0)</f>
        <v>138</v>
      </c>
      <c r="R144" s="4" t="n">
        <f aca="false">RANK(O144,$O$7:$O$307,1)</f>
        <v>136</v>
      </c>
      <c r="S144" s="4" t="n">
        <f aca="false">RANK(J144,$J$7:$J$307,0)</f>
        <v>113</v>
      </c>
      <c r="T144" s="4" t="str">
        <f aca="false">IF(O144&lt;0.05,"YES","no")</f>
        <v>no</v>
      </c>
      <c r="U144" s="4" t="str">
        <f aca="false">IF(P144&lt;0.05,"YES","no")</f>
        <v>no</v>
      </c>
      <c r="V144" s="4" t="str">
        <f aca="false">IF(N144&gt;1,"YES","no")</f>
        <v>no</v>
      </c>
    </row>
    <row r="145" customFormat="false" ht="15" hidden="false" customHeight="false" outlineLevel="0" collapsed="false">
      <c r="A145" s="4" t="s">
        <v>177</v>
      </c>
      <c r="B145" s="4"/>
      <c r="C145" s="4" t="s">
        <v>61</v>
      </c>
      <c r="D145" s="8" t="n">
        <v>135.08032</v>
      </c>
      <c r="E145" s="9" t="n">
        <v>4.066</v>
      </c>
      <c r="F145" s="10" t="n">
        <v>26805291.2141867</v>
      </c>
      <c r="G145" s="10" t="n">
        <v>6158510.00675551</v>
      </c>
      <c r="H145" s="10" t="n">
        <v>30061435.2830687</v>
      </c>
      <c r="I145" s="10" t="n">
        <v>8746693.38049777</v>
      </c>
      <c r="J145" s="10" t="n">
        <v>28433363.2486277</v>
      </c>
      <c r="K145" s="11" t="n">
        <v>1.1214739300112</v>
      </c>
      <c r="L145" s="11" t="n">
        <v>0.165396083660292</v>
      </c>
      <c r="M145" s="11" t="n">
        <v>0.2294867836698</v>
      </c>
      <c r="N145" s="11" t="n">
        <v>0.265957831102008</v>
      </c>
      <c r="O145" s="12" t="n">
        <v>0.47497317575462</v>
      </c>
      <c r="P145" s="12" t="n">
        <v>0.581166365455856</v>
      </c>
      <c r="Q145" s="4" t="n">
        <f aca="false">RANK(N145,$N$7:$N$307,0)</f>
        <v>139</v>
      </c>
      <c r="R145" s="4" t="n">
        <f aca="false">RANK(O145,$O$7:$O$307,1)</f>
        <v>246</v>
      </c>
      <c r="S145" s="4" t="n">
        <f aca="false">RANK(J145,$J$7:$J$307,0)</f>
        <v>49</v>
      </c>
      <c r="T145" s="4" t="str">
        <f aca="false">IF(O145&lt;0.05,"YES","no")</f>
        <v>no</v>
      </c>
      <c r="U145" s="4" t="str">
        <f aca="false">IF(P145&lt;0.05,"YES","no")</f>
        <v>no</v>
      </c>
      <c r="V145" s="4" t="str">
        <f aca="false">IF(N145&gt;1,"YES","no")</f>
        <v>no</v>
      </c>
    </row>
    <row r="146" customFormat="false" ht="15" hidden="false" customHeight="false" outlineLevel="0" collapsed="false">
      <c r="A146" s="4" t="s">
        <v>162</v>
      </c>
      <c r="B146" s="4"/>
      <c r="C146" s="4" t="s">
        <v>72</v>
      </c>
      <c r="D146" s="8" t="n">
        <v>227.20158</v>
      </c>
      <c r="E146" s="9" t="n">
        <v>3.747</v>
      </c>
      <c r="F146" s="10" t="n">
        <v>33856507.4703051</v>
      </c>
      <c r="G146" s="10" t="n">
        <v>18916414.8387836</v>
      </c>
      <c r="H146" s="10" t="n">
        <v>38198030.4909113</v>
      </c>
      <c r="I146" s="10" t="n">
        <v>34022603.0487756</v>
      </c>
      <c r="J146" s="10" t="n">
        <v>36027268.9806082</v>
      </c>
      <c r="K146" s="11" t="n">
        <v>1.12823304425048</v>
      </c>
      <c r="L146" s="11" t="n">
        <v>0.174065097044027</v>
      </c>
      <c r="M146" s="11" t="n">
        <v>0.0860684678727673</v>
      </c>
      <c r="N146" s="11" t="n">
        <v>0.265044404681272</v>
      </c>
      <c r="O146" s="12" t="n">
        <v>0.79178439903514</v>
      </c>
      <c r="P146" s="12" t="n">
        <v>0.872993055346436</v>
      </c>
      <c r="Q146" s="4" t="n">
        <f aca="false">RANK(N146,$N$7:$N$307,0)</f>
        <v>140</v>
      </c>
      <c r="R146" s="4" t="n">
        <f aca="false">RANK(O146,$O$7:$O$307,1)</f>
        <v>273</v>
      </c>
      <c r="S146" s="4" t="n">
        <f aca="false">RANK(J146,$J$7:$J$307,0)</f>
        <v>39</v>
      </c>
      <c r="T146" s="4" t="str">
        <f aca="false">IF(O146&lt;0.05,"YES","no")</f>
        <v>no</v>
      </c>
      <c r="U146" s="4" t="str">
        <f aca="false">IF(P146&lt;0.05,"YES","no")</f>
        <v>no</v>
      </c>
      <c r="V146" s="4" t="str">
        <f aca="false">IF(N146&gt;1,"YES","no")</f>
        <v>no</v>
      </c>
    </row>
    <row r="147" customFormat="false" ht="15" hidden="false" customHeight="false" outlineLevel="0" collapsed="false">
      <c r="A147" s="4" t="s">
        <v>212</v>
      </c>
      <c r="B147" s="4" t="s">
        <v>174</v>
      </c>
      <c r="C147" s="4" t="s">
        <v>72</v>
      </c>
      <c r="D147" s="8" t="n">
        <v>505.98832</v>
      </c>
      <c r="E147" s="9" t="n">
        <v>12.002</v>
      </c>
      <c r="F147" s="10" t="n">
        <v>480166.100618586</v>
      </c>
      <c r="G147" s="10" t="n">
        <v>770469.848306815</v>
      </c>
      <c r="H147" s="10" t="n">
        <v>89936.4780546247</v>
      </c>
      <c r="I147" s="10" t="n">
        <v>123966.35781097</v>
      </c>
      <c r="J147" s="10" t="n">
        <v>285051.289336605</v>
      </c>
      <c r="K147" s="11" t="n">
        <v>0.187302847782802</v>
      </c>
      <c r="L147" s="11" t="n">
        <v>-2.41655526017083</v>
      </c>
      <c r="M147" s="11" t="n">
        <v>0.361189836046592</v>
      </c>
      <c r="N147" s="11" t="n">
        <v>0.262985363774851</v>
      </c>
      <c r="O147" s="12" t="n">
        <v>0.272641187473845</v>
      </c>
      <c r="P147" s="12" t="n">
        <v>0.388933637107239</v>
      </c>
      <c r="Q147" s="4" t="n">
        <f aca="false">RANK(N147,$N$7:$N$307,0)</f>
        <v>141</v>
      </c>
      <c r="R147" s="4" t="n">
        <f aca="false">RANK(O147,$O$7:$O$307,1)</f>
        <v>211</v>
      </c>
      <c r="S147" s="4" t="n">
        <f aca="false">RANK(J147,$J$7:$J$307,0)</f>
        <v>239</v>
      </c>
      <c r="T147" s="4" t="str">
        <f aca="false">IF(O147&lt;0.05,"YES","no")</f>
        <v>no</v>
      </c>
      <c r="U147" s="4" t="str">
        <f aca="false">IF(P147&lt;0.05,"YES","no")</f>
        <v>no</v>
      </c>
      <c r="V147" s="4" t="str">
        <f aca="false">IF(N147&gt;1,"YES","no")</f>
        <v>no</v>
      </c>
    </row>
    <row r="148" customFormat="false" ht="15" hidden="false" customHeight="false" outlineLevel="0" collapsed="false">
      <c r="A148" s="4" t="s">
        <v>253</v>
      </c>
      <c r="B148" s="4"/>
      <c r="C148" s="4" t="s">
        <v>61</v>
      </c>
      <c r="D148" s="8" t="n">
        <v>212.04317</v>
      </c>
      <c r="E148" s="9" t="n">
        <v>9.518</v>
      </c>
      <c r="F148" s="10" t="n">
        <v>1189343.7088643</v>
      </c>
      <c r="G148" s="10" t="n">
        <v>1088921.34112495</v>
      </c>
      <c r="H148" s="10" t="n">
        <v>935139.484228223</v>
      </c>
      <c r="I148" s="10" t="n">
        <v>490416.158893699</v>
      </c>
      <c r="J148" s="10" t="n">
        <v>1062241.59654626</v>
      </c>
      <c r="K148" s="11" t="n">
        <v>0.786265128623906</v>
      </c>
      <c r="L148" s="11" t="n">
        <v>-0.346912223555907</v>
      </c>
      <c r="M148" s="11" t="n">
        <v>0.16268038590616</v>
      </c>
      <c r="N148" s="11" t="n">
        <v>0.245256658886366</v>
      </c>
      <c r="O148" s="12" t="n">
        <v>0.61829857858431</v>
      </c>
      <c r="P148" s="12" t="n">
        <v>0.718563212949334</v>
      </c>
      <c r="Q148" s="4" t="n">
        <f aca="false">RANK(N148,$N$7:$N$307,0)</f>
        <v>142</v>
      </c>
      <c r="R148" s="4" t="n">
        <f aca="false">RANK(O148,$O$7:$O$307,1)</f>
        <v>259</v>
      </c>
      <c r="S148" s="4" t="n">
        <f aca="false">RANK(J148,$J$7:$J$307,0)</f>
        <v>171</v>
      </c>
      <c r="T148" s="4" t="str">
        <f aca="false">IF(O148&lt;0.05,"YES","no")</f>
        <v>no</v>
      </c>
      <c r="U148" s="4" t="str">
        <f aca="false">IF(P148&lt;0.05,"YES","no")</f>
        <v>no</v>
      </c>
      <c r="V148" s="4" t="str">
        <f aca="false">IF(N148&gt;1,"YES","no")</f>
        <v>no</v>
      </c>
    </row>
    <row r="149" customFormat="false" ht="15" hidden="false" customHeight="false" outlineLevel="0" collapsed="false">
      <c r="A149" s="4" t="s">
        <v>246</v>
      </c>
      <c r="B149" s="4"/>
      <c r="C149" s="4" t="s">
        <v>72</v>
      </c>
      <c r="D149" s="8" t="n">
        <v>130.08622</v>
      </c>
      <c r="E149" s="9" t="n">
        <v>9.945</v>
      </c>
      <c r="F149" s="10" t="n">
        <v>2242677.19884111</v>
      </c>
      <c r="G149" s="10" t="n">
        <v>992998.050056694</v>
      </c>
      <c r="H149" s="10" t="n">
        <v>3128685.22133087</v>
      </c>
      <c r="I149" s="10" t="n">
        <v>1003699.10021006</v>
      </c>
      <c r="J149" s="10" t="n">
        <v>2685681.21008599</v>
      </c>
      <c r="K149" s="11" t="n">
        <v>1.39506712020241</v>
      </c>
      <c r="L149" s="11" t="n">
        <v>0.480334535426263</v>
      </c>
      <c r="M149" s="11" t="n">
        <v>0.43717177598921</v>
      </c>
      <c r="N149" s="11" t="n">
        <v>0.24388859950677</v>
      </c>
      <c r="O149" s="12" t="n">
        <v>0.155281351660298</v>
      </c>
      <c r="P149" s="12" t="n">
        <v>0.258230314087015</v>
      </c>
      <c r="Q149" s="4" t="n">
        <f aca="false">RANK(N149,$N$7:$N$307,0)</f>
        <v>143</v>
      </c>
      <c r="R149" s="4" t="n">
        <f aca="false">RANK(O149,$O$7:$O$307,1)</f>
        <v>181</v>
      </c>
      <c r="S149" s="4" t="n">
        <f aca="false">RANK(J149,$J$7:$J$307,0)</f>
        <v>127</v>
      </c>
      <c r="T149" s="4" t="str">
        <f aca="false">IF(O149&lt;0.05,"YES","no")</f>
        <v>no</v>
      </c>
      <c r="U149" s="4" t="str">
        <f aca="false">IF(P149&lt;0.05,"YES","no")</f>
        <v>no</v>
      </c>
      <c r="V149" s="4" t="str">
        <f aca="false">IF(N149&gt;1,"YES","no")</f>
        <v>no</v>
      </c>
    </row>
    <row r="150" customFormat="false" ht="15" hidden="false" customHeight="false" outlineLevel="0" collapsed="false">
      <c r="A150" s="4" t="s">
        <v>189</v>
      </c>
      <c r="B150" s="4"/>
      <c r="C150" s="4" t="s">
        <v>61</v>
      </c>
      <c r="D150" s="8" t="n">
        <v>324.05926</v>
      </c>
      <c r="E150" s="9" t="n">
        <v>9.915</v>
      </c>
      <c r="F150" s="10" t="n">
        <v>1766821.22367964</v>
      </c>
      <c r="G150" s="10" t="n">
        <v>676664.792720479</v>
      </c>
      <c r="H150" s="10" t="n">
        <v>2786087.04713375</v>
      </c>
      <c r="I150" s="10" t="n">
        <v>689566.429820696</v>
      </c>
      <c r="J150" s="10" t="n">
        <v>2276454.13540669</v>
      </c>
      <c r="K150" s="11" t="n">
        <v>1.57689244944169</v>
      </c>
      <c r="L150" s="11" t="n">
        <v>0.657084265741382</v>
      </c>
      <c r="M150" s="11" t="n">
        <v>0.632787662618399</v>
      </c>
      <c r="N150" s="11" t="n">
        <v>0.240809569854763</v>
      </c>
      <c r="O150" s="12" t="n">
        <v>0.0272243517452772</v>
      </c>
      <c r="P150" s="12" t="n">
        <v>0.0904285938393615</v>
      </c>
      <c r="Q150" s="4" t="n">
        <f aca="false">RANK(N150,$N$7:$N$307,0)</f>
        <v>144</v>
      </c>
      <c r="R150" s="4" t="n">
        <f aca="false">RANK(O150,$O$7:$O$307,1)</f>
        <v>89</v>
      </c>
      <c r="S150" s="4" t="n">
        <f aca="false">RANK(J150,$J$7:$J$307,0)</f>
        <v>138</v>
      </c>
      <c r="T150" s="4" t="str">
        <f aca="false">IF(O150&lt;0.05,"YES","no")</f>
        <v>YES</v>
      </c>
      <c r="U150" s="4" t="str">
        <f aca="false">IF(P150&lt;0.05,"YES","no")</f>
        <v>no</v>
      </c>
      <c r="V150" s="4" t="str">
        <f aca="false">IF(N150&gt;1,"YES","no")</f>
        <v>no</v>
      </c>
    </row>
    <row r="151" customFormat="false" ht="15" hidden="false" customHeight="false" outlineLevel="0" collapsed="false">
      <c r="A151" s="4" t="s">
        <v>272</v>
      </c>
      <c r="B151" s="4"/>
      <c r="C151" s="4" t="s">
        <v>72</v>
      </c>
      <c r="D151" s="8" t="n">
        <v>417.1188</v>
      </c>
      <c r="E151" s="9" t="n">
        <v>6.824</v>
      </c>
      <c r="F151" s="10" t="n">
        <v>244694.621148568</v>
      </c>
      <c r="G151" s="10" t="n">
        <v>132800.761105837</v>
      </c>
      <c r="H151" s="10" t="n">
        <v>905393.376009706</v>
      </c>
      <c r="I151" s="10" t="n">
        <v>294171.354620434</v>
      </c>
      <c r="J151" s="10" t="n">
        <v>575043.998579137</v>
      </c>
      <c r="K151" s="11" t="n">
        <v>3.70009512983937</v>
      </c>
      <c r="L151" s="11" t="n">
        <v>1.88756236306137</v>
      </c>
      <c r="M151" s="11" t="n">
        <v>0.845838084959432</v>
      </c>
      <c r="N151" s="11" t="n">
        <v>0.239982488493387</v>
      </c>
      <c r="O151" s="12" t="n">
        <v>0.00156898018758494</v>
      </c>
      <c r="P151" s="12" t="n">
        <v>0.0250881480004226</v>
      </c>
      <c r="Q151" s="4" t="n">
        <f aca="false">RANK(N151,$N$7:$N$307,0)</f>
        <v>145</v>
      </c>
      <c r="R151" s="4" t="n">
        <f aca="false">RANK(O151,$O$7:$O$307,1)</f>
        <v>18</v>
      </c>
      <c r="S151" s="4" t="n">
        <f aca="false">RANK(J151,$J$7:$J$307,0)</f>
        <v>202</v>
      </c>
      <c r="T151" s="4" t="str">
        <f aca="false">IF(O151&lt;0.05,"YES","no")</f>
        <v>YES</v>
      </c>
      <c r="U151" s="4" t="str">
        <f aca="false">IF(P151&lt;0.05,"YES","no")</f>
        <v>YES</v>
      </c>
      <c r="V151" s="4" t="str">
        <f aca="false">IF(N151&gt;1,"YES","no")</f>
        <v>no</v>
      </c>
    </row>
    <row r="152" customFormat="false" ht="15" hidden="false" customHeight="false" outlineLevel="0" collapsed="false">
      <c r="A152" s="4" t="s">
        <v>255</v>
      </c>
      <c r="B152" s="4"/>
      <c r="C152" s="4" t="s">
        <v>61</v>
      </c>
      <c r="D152" s="8" t="n">
        <v>155.00989</v>
      </c>
      <c r="E152" s="9" t="n">
        <v>6.873</v>
      </c>
      <c r="F152" s="10" t="n">
        <v>398596.313596733</v>
      </c>
      <c r="G152" s="10" t="n">
        <v>183337.702389848</v>
      </c>
      <c r="H152" s="10" t="n">
        <v>1060379.37392305</v>
      </c>
      <c r="I152" s="10" t="n">
        <v>241325.404363989</v>
      </c>
      <c r="J152" s="10" t="n">
        <v>729487.84375989</v>
      </c>
      <c r="K152" s="11" t="n">
        <v>2.66028394581654</v>
      </c>
      <c r="L152" s="11" t="n">
        <v>1.41158024022224</v>
      </c>
      <c r="M152" s="11" t="n">
        <v>0.860808896833018</v>
      </c>
      <c r="N152" s="11" t="n">
        <v>0.239732006952004</v>
      </c>
      <c r="O152" s="12" t="n">
        <v>0.000410212539122573</v>
      </c>
      <c r="P152" s="12" t="n">
        <v>0.0201401215916247</v>
      </c>
      <c r="Q152" s="4" t="n">
        <f aca="false">RANK(N152,$N$7:$N$307,0)</f>
        <v>146</v>
      </c>
      <c r="R152" s="4" t="n">
        <f aca="false">RANK(O152,$O$7:$O$307,1)</f>
        <v>5</v>
      </c>
      <c r="S152" s="4" t="n">
        <f aca="false">RANK(J152,$J$7:$J$307,0)</f>
        <v>189</v>
      </c>
      <c r="T152" s="4" t="str">
        <f aca="false">IF(O152&lt;0.05,"YES","no")</f>
        <v>YES</v>
      </c>
      <c r="U152" s="4" t="str">
        <f aca="false">IF(P152&lt;0.05,"YES","no")</f>
        <v>YES</v>
      </c>
      <c r="V152" s="4" t="str">
        <f aca="false">IF(N152&gt;1,"YES","no")</f>
        <v>no</v>
      </c>
    </row>
    <row r="153" customFormat="false" ht="15" hidden="false" customHeight="false" outlineLevel="0" collapsed="false">
      <c r="A153" s="4" t="s">
        <v>244</v>
      </c>
      <c r="B153" s="4"/>
      <c r="C153" s="4" t="s">
        <v>72</v>
      </c>
      <c r="D153" s="8" t="n">
        <v>204.08663</v>
      </c>
      <c r="E153" s="9" t="n">
        <v>9.532</v>
      </c>
      <c r="F153" s="10" t="n">
        <v>612360.012855349</v>
      </c>
      <c r="G153" s="10" t="n">
        <v>178257.488505761</v>
      </c>
      <c r="H153" s="10" t="n">
        <v>1430099.65049567</v>
      </c>
      <c r="I153" s="10" t="n">
        <v>790624.817738047</v>
      </c>
      <c r="J153" s="10" t="n">
        <v>1021229.83167551</v>
      </c>
      <c r="K153" s="11" t="n">
        <v>2.33539032672514</v>
      </c>
      <c r="L153" s="11" t="n">
        <v>1.22366369570332</v>
      </c>
      <c r="M153" s="11" t="n">
        <v>0.615787643095412</v>
      </c>
      <c r="N153" s="11" t="n">
        <v>0.233928512625979</v>
      </c>
      <c r="O153" s="12" t="n">
        <v>0.051947405070484</v>
      </c>
      <c r="P153" s="12" t="n">
        <v>0.127934238480801</v>
      </c>
      <c r="Q153" s="4" t="n">
        <f aca="false">RANK(N153,$N$7:$N$307,0)</f>
        <v>147</v>
      </c>
      <c r="R153" s="4" t="n">
        <f aca="false">RANK(O153,$O$7:$O$307,1)</f>
        <v>122</v>
      </c>
      <c r="S153" s="4" t="n">
        <f aca="false">RANK(J153,$J$7:$J$307,0)</f>
        <v>173</v>
      </c>
      <c r="T153" s="4" t="str">
        <f aca="false">IF(O153&lt;0.05,"YES","no")</f>
        <v>no</v>
      </c>
      <c r="U153" s="4" t="str">
        <f aca="false">IF(P153&lt;0.05,"YES","no")</f>
        <v>no</v>
      </c>
      <c r="V153" s="4" t="str">
        <f aca="false">IF(N153&gt;1,"YES","no")</f>
        <v>no</v>
      </c>
    </row>
    <row r="154" customFormat="false" ht="15" hidden="false" customHeight="false" outlineLevel="0" collapsed="false">
      <c r="A154" s="4" t="s">
        <v>388</v>
      </c>
      <c r="B154" s="4"/>
      <c r="C154" s="4" t="s">
        <v>72</v>
      </c>
      <c r="D154" s="8" t="n">
        <v>203.13893</v>
      </c>
      <c r="E154" s="9" t="n">
        <v>6.828</v>
      </c>
      <c r="F154" s="10" t="n">
        <v>521369.880914225</v>
      </c>
      <c r="G154" s="10" t="n">
        <v>154849.883442804</v>
      </c>
      <c r="H154" s="10" t="n">
        <v>1260965.55569348</v>
      </c>
      <c r="I154" s="10" t="n">
        <v>563726.86956598</v>
      </c>
      <c r="J154" s="10" t="n">
        <v>891167.718303853</v>
      </c>
      <c r="K154" s="11" t="n">
        <v>2.41856233329468</v>
      </c>
      <c r="L154" s="11" t="n">
        <v>1.27414972065591</v>
      </c>
      <c r="M154" s="11" t="n">
        <v>0.699911470901205</v>
      </c>
      <c r="N154" s="11" t="n">
        <v>0.224749108259184</v>
      </c>
      <c r="O154" s="12" t="n">
        <v>0.0223533613662621</v>
      </c>
      <c r="P154" s="12" t="n">
        <v>0.0830661947067271</v>
      </c>
      <c r="Q154" s="4" t="n">
        <f aca="false">RANK(N154,$N$7:$N$307,0)</f>
        <v>148</v>
      </c>
      <c r="R154" s="4" t="n">
        <f aca="false">RANK(O154,$O$7:$O$307,1)</f>
        <v>81</v>
      </c>
      <c r="S154" s="4" t="n">
        <f aca="false">RANK(J154,$J$7:$J$307,0)</f>
        <v>184</v>
      </c>
      <c r="T154" s="4" t="str">
        <f aca="false">IF(O154&lt;0.05,"YES","no")</f>
        <v>YES</v>
      </c>
      <c r="U154" s="4" t="str">
        <f aca="false">IF(P154&lt;0.05,"YES","no")</f>
        <v>no</v>
      </c>
      <c r="V154" s="4" t="str">
        <f aca="false">IF(N154&gt;1,"YES","no")</f>
        <v>no</v>
      </c>
    </row>
    <row r="155" customFormat="false" ht="15" hidden="false" customHeight="false" outlineLevel="0" collapsed="false">
      <c r="A155" s="4" t="s">
        <v>295</v>
      </c>
      <c r="B155" s="4"/>
      <c r="C155" s="4" t="s">
        <v>61</v>
      </c>
      <c r="D155" s="8" t="n">
        <v>282.08428</v>
      </c>
      <c r="E155" s="9" t="n">
        <v>9.983</v>
      </c>
      <c r="F155" s="10" t="n">
        <v>605700.712125085</v>
      </c>
      <c r="G155" s="10" t="n">
        <v>187097.515016681</v>
      </c>
      <c r="H155" s="10" t="n">
        <v>1339585.62143921</v>
      </c>
      <c r="I155" s="10" t="n">
        <v>493826.639352387</v>
      </c>
      <c r="J155" s="10" t="n">
        <v>972643.166782146</v>
      </c>
      <c r="K155" s="11" t="n">
        <v>2.21162959630558</v>
      </c>
      <c r="L155" s="11" t="n">
        <v>1.1451097832582</v>
      </c>
      <c r="M155" s="11" t="n">
        <v>0.732651146471703</v>
      </c>
      <c r="N155" s="11" t="n">
        <v>0.223577303880404</v>
      </c>
      <c r="O155" s="12" t="n">
        <v>0.0130333762935127</v>
      </c>
      <c r="P155" s="12" t="n">
        <v>0.0612975978804271</v>
      </c>
      <c r="Q155" s="4" t="n">
        <f aca="false">RANK(N155,$N$7:$N$307,0)</f>
        <v>149</v>
      </c>
      <c r="R155" s="4" t="n">
        <f aca="false">RANK(O155,$O$7:$O$307,1)</f>
        <v>64</v>
      </c>
      <c r="S155" s="4" t="n">
        <f aca="false">RANK(J155,$J$7:$J$307,0)</f>
        <v>180</v>
      </c>
      <c r="T155" s="4" t="str">
        <f aca="false">IF(O155&lt;0.05,"YES","no")</f>
        <v>YES</v>
      </c>
      <c r="U155" s="4" t="str">
        <f aca="false">IF(P155&lt;0.05,"YES","no")</f>
        <v>no</v>
      </c>
      <c r="V155" s="4" t="str">
        <f aca="false">IF(N155&gt;1,"YES","no")</f>
        <v>no</v>
      </c>
    </row>
    <row r="156" customFormat="false" ht="15" hidden="false" customHeight="false" outlineLevel="0" collapsed="false">
      <c r="A156" s="4" t="s">
        <v>293</v>
      </c>
      <c r="B156" s="4"/>
      <c r="C156" s="4" t="s">
        <v>61</v>
      </c>
      <c r="D156" s="8" t="n">
        <v>189.05247</v>
      </c>
      <c r="E156" s="9" t="n">
        <v>6.858</v>
      </c>
      <c r="F156" s="10" t="n">
        <v>1138634.00506281</v>
      </c>
      <c r="G156" s="10" t="n">
        <v>347296.060866171</v>
      </c>
      <c r="H156" s="10" t="n">
        <v>2042864.56660502</v>
      </c>
      <c r="I156" s="10" t="n">
        <v>1167387.06791483</v>
      </c>
      <c r="J156" s="10" t="n">
        <v>1590749.28583392</v>
      </c>
      <c r="K156" s="11" t="n">
        <v>1.79413626988274</v>
      </c>
      <c r="L156" s="11" t="n">
        <v>0.843289471315057</v>
      </c>
      <c r="M156" s="11" t="n">
        <v>0.498520104400352</v>
      </c>
      <c r="N156" s="11" t="n">
        <v>0.221536323019464</v>
      </c>
      <c r="O156" s="12" t="n">
        <v>0.119878564860331</v>
      </c>
      <c r="P156" s="12" t="n">
        <v>0.21769819719302</v>
      </c>
      <c r="Q156" s="4" t="n">
        <f aca="false">RANK(N156,$N$7:$N$307,0)</f>
        <v>150</v>
      </c>
      <c r="R156" s="4" t="n">
        <f aca="false">RANK(O156,$O$7:$O$307,1)</f>
        <v>165</v>
      </c>
      <c r="S156" s="4" t="n">
        <f aca="false">RANK(J156,$J$7:$J$307,0)</f>
        <v>150</v>
      </c>
      <c r="T156" s="4" t="str">
        <f aca="false">IF(O156&lt;0.05,"YES","no")</f>
        <v>no</v>
      </c>
      <c r="U156" s="4" t="str">
        <f aca="false">IF(P156&lt;0.05,"YES","no")</f>
        <v>no</v>
      </c>
      <c r="V156" s="4" t="str">
        <f aca="false">IF(N156&gt;1,"YES","no")</f>
        <v>no</v>
      </c>
    </row>
    <row r="157" customFormat="false" ht="15" hidden="false" customHeight="false" outlineLevel="0" collapsed="false">
      <c r="A157" s="4" t="s">
        <v>329</v>
      </c>
      <c r="B157" s="4" t="s">
        <v>330</v>
      </c>
      <c r="C157" s="4" t="s">
        <v>72</v>
      </c>
      <c r="D157" s="8" t="n">
        <v>146.16515</v>
      </c>
      <c r="E157" s="9" t="n">
        <v>14.215</v>
      </c>
      <c r="F157" s="10" t="n">
        <v>6183561.82794484</v>
      </c>
      <c r="G157" s="10" t="n">
        <v>1178096.28167127</v>
      </c>
      <c r="H157" s="10" t="n">
        <v>4907929.56745043</v>
      </c>
      <c r="I157" s="10" t="n">
        <v>2420432.33838832</v>
      </c>
      <c r="J157" s="10" t="n">
        <v>5545745.69769763</v>
      </c>
      <c r="K157" s="11" t="n">
        <v>0.793705909961221</v>
      </c>
      <c r="L157" s="11" t="n">
        <v>-0.333323547009029</v>
      </c>
      <c r="M157" s="11" t="n">
        <v>0.344582071539098</v>
      </c>
      <c r="N157" s="11" t="n">
        <v>0.215788345977461</v>
      </c>
      <c r="O157" s="12" t="n">
        <v>0.282565423095641</v>
      </c>
      <c r="P157" s="12" t="n">
        <v>0.401189586565038</v>
      </c>
      <c r="Q157" s="4" t="n">
        <f aca="false">RANK(N157,$N$7:$N$307,0)</f>
        <v>151</v>
      </c>
      <c r="R157" s="4" t="n">
        <f aca="false">RANK(O157,$O$7:$O$307,1)</f>
        <v>212</v>
      </c>
      <c r="S157" s="4" t="n">
        <f aca="false">RANK(J157,$J$7:$J$307,0)</f>
        <v>99</v>
      </c>
      <c r="T157" s="4" t="str">
        <f aca="false">IF(O157&lt;0.05,"YES","no")</f>
        <v>no</v>
      </c>
      <c r="U157" s="4" t="str">
        <f aca="false">IF(P157&lt;0.05,"YES","no")</f>
        <v>no</v>
      </c>
      <c r="V157" s="4" t="str">
        <f aca="false">IF(N157&gt;1,"YES","no")</f>
        <v>no</v>
      </c>
    </row>
    <row r="158" customFormat="false" ht="15" hidden="false" customHeight="false" outlineLevel="0" collapsed="false">
      <c r="A158" s="4" t="s">
        <v>270</v>
      </c>
      <c r="B158" s="4"/>
      <c r="C158" s="4" t="s">
        <v>61</v>
      </c>
      <c r="D158" s="8" t="n">
        <v>181.0507</v>
      </c>
      <c r="E158" s="9" t="n">
        <v>6.87</v>
      </c>
      <c r="F158" s="10" t="n">
        <v>665971.740983756</v>
      </c>
      <c r="G158" s="10" t="n">
        <v>567619.972263375</v>
      </c>
      <c r="H158" s="10" t="n">
        <v>1412775.23623243</v>
      </c>
      <c r="I158" s="10" t="n">
        <v>362391.300630584</v>
      </c>
      <c r="J158" s="10" t="n">
        <v>1039373.48860809</v>
      </c>
      <c r="K158" s="11" t="n">
        <v>2.12137415041893</v>
      </c>
      <c r="L158" s="11" t="n">
        <v>1.08499909392351</v>
      </c>
      <c r="M158" s="11" t="n">
        <v>0.651595021574201</v>
      </c>
      <c r="N158" s="11" t="n">
        <v>0.212974805550309</v>
      </c>
      <c r="O158" s="12" t="n">
        <v>0.0249974266901314</v>
      </c>
      <c r="P158" s="12" t="n">
        <v>0.08749099341546</v>
      </c>
      <c r="Q158" s="4" t="n">
        <f aca="false">RANK(N158,$N$7:$N$307,0)</f>
        <v>152</v>
      </c>
      <c r="R158" s="4" t="n">
        <f aca="false">RANK(O158,$O$7:$O$307,1)</f>
        <v>86</v>
      </c>
      <c r="S158" s="4" t="n">
        <f aca="false">RANK(J158,$J$7:$J$307,0)</f>
        <v>172</v>
      </c>
      <c r="T158" s="4" t="str">
        <f aca="false">IF(O158&lt;0.05,"YES","no")</f>
        <v>YES</v>
      </c>
      <c r="U158" s="4" t="str">
        <f aca="false">IF(P158&lt;0.05,"YES","no")</f>
        <v>no</v>
      </c>
      <c r="V158" s="4" t="str">
        <f aca="false">IF(N158&gt;1,"YES","no")</f>
        <v>no</v>
      </c>
    </row>
    <row r="159" customFormat="false" ht="15" hidden="false" customHeight="false" outlineLevel="0" collapsed="false">
      <c r="A159" s="4" t="s">
        <v>240</v>
      </c>
      <c r="B159" s="4"/>
      <c r="C159" s="4" t="s">
        <v>61</v>
      </c>
      <c r="D159" s="8" t="n">
        <v>300.04881</v>
      </c>
      <c r="E159" s="9" t="n">
        <v>9.663</v>
      </c>
      <c r="F159" s="10" t="n">
        <v>272484.556367315</v>
      </c>
      <c r="G159" s="10" t="n">
        <v>91619.6475448965</v>
      </c>
      <c r="H159" s="10" t="n">
        <v>898927.423332287</v>
      </c>
      <c r="I159" s="10" t="n">
        <v>513217.352019529</v>
      </c>
      <c r="J159" s="10" t="n">
        <v>585705.989849801</v>
      </c>
      <c r="K159" s="11" t="n">
        <v>3.29900319972819</v>
      </c>
      <c r="L159" s="11" t="n">
        <v>1.72203017718437</v>
      </c>
      <c r="M159" s="11" t="n">
        <v>0.681315663317421</v>
      </c>
      <c r="N159" s="11" t="n">
        <v>0.211901328856734</v>
      </c>
      <c r="O159" s="12" t="n">
        <v>0.0298230209254662</v>
      </c>
      <c r="P159" s="12" t="n">
        <v>0.0944918873533193</v>
      </c>
      <c r="Q159" s="4" t="n">
        <f aca="false">RANK(N159,$N$7:$N$307,0)</f>
        <v>153</v>
      </c>
      <c r="R159" s="4" t="n">
        <f aca="false">RANK(O159,$O$7:$O$307,1)</f>
        <v>95</v>
      </c>
      <c r="S159" s="4" t="n">
        <f aca="false">RANK(J159,$J$7:$J$307,0)</f>
        <v>199</v>
      </c>
      <c r="T159" s="4" t="str">
        <f aca="false">IF(O159&lt;0.05,"YES","no")</f>
        <v>YES</v>
      </c>
      <c r="U159" s="4" t="str">
        <f aca="false">IF(P159&lt;0.05,"YES","no")</f>
        <v>no</v>
      </c>
      <c r="V159" s="4" t="str">
        <f aca="false">IF(N159&gt;1,"YES","no")</f>
        <v>no</v>
      </c>
    </row>
    <row r="160" customFormat="false" ht="15" hidden="false" customHeight="false" outlineLevel="0" collapsed="false">
      <c r="A160" s="4" t="s">
        <v>316</v>
      </c>
      <c r="B160" s="4"/>
      <c r="C160" s="4" t="s">
        <v>72</v>
      </c>
      <c r="D160" s="8" t="n">
        <v>260.05305</v>
      </c>
      <c r="E160" s="9" t="n">
        <v>9.877</v>
      </c>
      <c r="F160" s="10" t="n">
        <v>545660.17863852</v>
      </c>
      <c r="G160" s="10" t="n">
        <v>263845.098921466</v>
      </c>
      <c r="H160" s="10" t="n">
        <v>1288287.53666033</v>
      </c>
      <c r="I160" s="10" t="n">
        <v>686622.593626831</v>
      </c>
      <c r="J160" s="10" t="n">
        <v>916973.857649425</v>
      </c>
      <c r="K160" s="11" t="n">
        <v>2.36097041179502</v>
      </c>
      <c r="L160" s="11" t="n">
        <v>1.23937996150553</v>
      </c>
      <c r="M160" s="11" t="n">
        <v>0.616024203258116</v>
      </c>
      <c r="N160" s="11" t="n">
        <v>0.209336711679528</v>
      </c>
      <c r="O160" s="12" t="n">
        <v>0.0455301966142832</v>
      </c>
      <c r="P160" s="12" t="n">
        <v>0.123220152203453</v>
      </c>
      <c r="Q160" s="4" t="n">
        <f aca="false">RANK(N160,$N$7:$N$307,0)</f>
        <v>154</v>
      </c>
      <c r="R160" s="4" t="n">
        <f aca="false">RANK(O160,$O$7:$O$307,1)</f>
        <v>111</v>
      </c>
      <c r="S160" s="4" t="n">
        <f aca="false">RANK(J160,$J$7:$J$307,0)</f>
        <v>181</v>
      </c>
      <c r="T160" s="4" t="str">
        <f aca="false">IF(O160&lt;0.05,"YES","no")</f>
        <v>YES</v>
      </c>
      <c r="U160" s="4" t="str">
        <f aca="false">IF(P160&lt;0.05,"YES","no")</f>
        <v>no</v>
      </c>
      <c r="V160" s="4" t="str">
        <f aca="false">IF(N160&gt;1,"YES","no")</f>
        <v>no</v>
      </c>
    </row>
    <row r="161" customFormat="false" ht="15" hidden="false" customHeight="false" outlineLevel="0" collapsed="false">
      <c r="A161" s="4" t="s">
        <v>231</v>
      </c>
      <c r="B161" s="4"/>
      <c r="C161" s="4" t="s">
        <v>72</v>
      </c>
      <c r="D161" s="8" t="n">
        <v>324.09337</v>
      </c>
      <c r="E161" s="9" t="n">
        <v>9.448</v>
      </c>
      <c r="F161" s="10" t="n">
        <v>966077.577878918</v>
      </c>
      <c r="G161" s="10" t="n">
        <v>385125.560656411</v>
      </c>
      <c r="H161" s="10" t="n">
        <v>1636298.42673661</v>
      </c>
      <c r="I161" s="10" t="n">
        <v>365005.636266065</v>
      </c>
      <c r="J161" s="10" t="n">
        <v>1301188.00230776</v>
      </c>
      <c r="K161" s="11" t="n">
        <v>1.69375468824067</v>
      </c>
      <c r="L161" s="11" t="n">
        <v>0.760224939790322</v>
      </c>
      <c r="M161" s="11" t="n">
        <v>0.699343919560255</v>
      </c>
      <c r="N161" s="11" t="n">
        <v>0.206246064528743</v>
      </c>
      <c r="O161" s="12" t="n">
        <v>0.0114042647256177</v>
      </c>
      <c r="P161" s="12" t="n">
        <v>0.0562735029903432</v>
      </c>
      <c r="Q161" s="4" t="n">
        <f aca="false">RANK(N161,$N$7:$N$307,0)</f>
        <v>155</v>
      </c>
      <c r="R161" s="4" t="n">
        <f aca="false">RANK(O161,$O$7:$O$307,1)</f>
        <v>61</v>
      </c>
      <c r="S161" s="4" t="n">
        <f aca="false">RANK(J161,$J$7:$J$307,0)</f>
        <v>159</v>
      </c>
      <c r="T161" s="4" t="str">
        <f aca="false">IF(O161&lt;0.05,"YES","no")</f>
        <v>YES</v>
      </c>
      <c r="U161" s="4" t="str">
        <f aca="false">IF(P161&lt;0.05,"YES","no")</f>
        <v>no</v>
      </c>
      <c r="V161" s="4" t="str">
        <f aca="false">IF(N161&gt;1,"YES","no")</f>
        <v>no</v>
      </c>
    </row>
    <row r="162" customFormat="false" ht="15" hidden="false" customHeight="false" outlineLevel="0" collapsed="false">
      <c r="A162" s="4" t="s">
        <v>307</v>
      </c>
      <c r="B162" s="4"/>
      <c r="C162" s="4" t="s">
        <v>72</v>
      </c>
      <c r="D162" s="8" t="n">
        <v>121.05075</v>
      </c>
      <c r="E162" s="9" t="n">
        <v>7.788</v>
      </c>
      <c r="F162" s="10" t="n">
        <v>90301.8405065911</v>
      </c>
      <c r="G162" s="10" t="n">
        <v>108288.539436819</v>
      </c>
      <c r="H162" s="10" t="n">
        <v>695612.831905188</v>
      </c>
      <c r="I162" s="10" t="n">
        <v>565944.753155665</v>
      </c>
      <c r="J162" s="10" t="n">
        <v>392957.33620589</v>
      </c>
      <c r="K162" s="11" t="n">
        <v>7.70319661263622</v>
      </c>
      <c r="L162" s="11" t="n">
        <v>2.94545724843015</v>
      </c>
      <c r="M162" s="11" t="n">
        <v>0.631159971453647</v>
      </c>
      <c r="N162" s="11" t="n">
        <v>0.205925042969306</v>
      </c>
      <c r="O162" s="12" t="n">
        <v>0.0466680975122711</v>
      </c>
      <c r="P162" s="12" t="n">
        <v>0.123220152203453</v>
      </c>
      <c r="Q162" s="4" t="n">
        <f aca="false">RANK(N162,$N$7:$N$307,0)</f>
        <v>156</v>
      </c>
      <c r="R162" s="4" t="n">
        <f aca="false">RANK(O162,$O$7:$O$307,1)</f>
        <v>114</v>
      </c>
      <c r="S162" s="4" t="n">
        <f aca="false">RANK(J162,$J$7:$J$307,0)</f>
        <v>219</v>
      </c>
      <c r="T162" s="4" t="str">
        <f aca="false">IF(O162&lt;0.05,"YES","no")</f>
        <v>YES</v>
      </c>
      <c r="U162" s="4" t="str">
        <f aca="false">IF(P162&lt;0.05,"YES","no")</f>
        <v>no</v>
      </c>
      <c r="V162" s="4" t="str">
        <f aca="false">IF(N162&gt;1,"YES","no")</f>
        <v>no</v>
      </c>
    </row>
    <row r="163" customFormat="false" ht="15" hidden="false" customHeight="false" outlineLevel="0" collapsed="false">
      <c r="A163" s="4" t="s">
        <v>206</v>
      </c>
      <c r="B163" s="4"/>
      <c r="C163" s="4" t="s">
        <v>72</v>
      </c>
      <c r="D163" s="8" t="n">
        <v>298.09699</v>
      </c>
      <c r="E163" s="9" t="n">
        <v>6.861</v>
      </c>
      <c r="F163" s="10" t="n">
        <v>4176095.20180766</v>
      </c>
      <c r="G163" s="10" t="n">
        <v>1913438.25487583</v>
      </c>
      <c r="H163" s="10" t="n">
        <v>5018696.22724904</v>
      </c>
      <c r="I163" s="10" t="n">
        <v>2469805.71297989</v>
      </c>
      <c r="J163" s="10" t="n">
        <v>4597395.71452835</v>
      </c>
      <c r="K163" s="11" t="n">
        <v>1.20176767643531</v>
      </c>
      <c r="L163" s="11" t="n">
        <v>0.265158023794522</v>
      </c>
      <c r="M163" s="11" t="n">
        <v>0.204489393476132</v>
      </c>
      <c r="N163" s="11" t="n">
        <v>0.204994443838516</v>
      </c>
      <c r="O163" s="12" t="n">
        <v>0.524698276231886</v>
      </c>
      <c r="P163" s="12" t="n">
        <v>0.626722941054752</v>
      </c>
      <c r="Q163" s="4" t="n">
        <f aca="false">RANK(N163,$N$7:$N$307,0)</f>
        <v>157</v>
      </c>
      <c r="R163" s="4" t="n">
        <f aca="false">RANK(O163,$O$7:$O$307,1)</f>
        <v>252</v>
      </c>
      <c r="S163" s="4" t="n">
        <f aca="false">RANK(J163,$J$7:$J$307,0)</f>
        <v>110</v>
      </c>
      <c r="T163" s="4" t="str">
        <f aca="false">IF(O163&lt;0.05,"YES","no")</f>
        <v>no</v>
      </c>
      <c r="U163" s="4" t="str">
        <f aca="false">IF(P163&lt;0.05,"YES","no")</f>
        <v>no</v>
      </c>
      <c r="V163" s="4" t="str">
        <f aca="false">IF(N163&gt;1,"YES","no")</f>
        <v>no</v>
      </c>
    </row>
    <row r="164" customFormat="false" ht="15" hidden="false" customHeight="false" outlineLevel="0" collapsed="false">
      <c r="A164" s="4" t="s">
        <v>274</v>
      </c>
      <c r="B164" s="4"/>
      <c r="C164" s="4" t="s">
        <v>72</v>
      </c>
      <c r="D164" s="8" t="n">
        <v>263.13899</v>
      </c>
      <c r="E164" s="9" t="n">
        <v>6.847</v>
      </c>
      <c r="F164" s="10" t="n">
        <v>275308.434744309</v>
      </c>
      <c r="G164" s="10" t="n">
        <v>96741.0634629419</v>
      </c>
      <c r="H164" s="10" t="n">
        <v>759955.192036916</v>
      </c>
      <c r="I164" s="10" t="n">
        <v>173043.13923568</v>
      </c>
      <c r="J164" s="10" t="n">
        <v>517631.813390612</v>
      </c>
      <c r="K164" s="11" t="n">
        <v>2.76037743900843</v>
      </c>
      <c r="L164" s="11" t="n">
        <v>1.46486554677012</v>
      </c>
      <c r="M164" s="11" t="n">
        <v>0.884269580940348</v>
      </c>
      <c r="N164" s="11" t="n">
        <v>0.203283776316317</v>
      </c>
      <c r="O164" s="12" t="n">
        <v>0.000353353944744933</v>
      </c>
      <c r="P164" s="12" t="n">
        <v>0.0201401215916247</v>
      </c>
      <c r="Q164" s="4" t="n">
        <f aca="false">RANK(N164,$N$7:$N$307,0)</f>
        <v>158</v>
      </c>
      <c r="R164" s="4" t="n">
        <f aca="false">RANK(O164,$O$7:$O$307,1)</f>
        <v>3</v>
      </c>
      <c r="S164" s="4" t="n">
        <f aca="false">RANK(J164,$J$7:$J$307,0)</f>
        <v>208</v>
      </c>
      <c r="T164" s="4" t="str">
        <f aca="false">IF(O164&lt;0.05,"YES","no")</f>
        <v>YES</v>
      </c>
      <c r="U164" s="4" t="str">
        <f aca="false">IF(P164&lt;0.05,"YES","no")</f>
        <v>YES</v>
      </c>
      <c r="V164" s="4" t="str">
        <f aca="false">IF(N164&gt;1,"YES","no")</f>
        <v>no</v>
      </c>
    </row>
    <row r="165" customFormat="false" ht="15" hidden="false" customHeight="false" outlineLevel="0" collapsed="false">
      <c r="A165" s="4" t="s">
        <v>252</v>
      </c>
      <c r="B165" s="4"/>
      <c r="C165" s="4" t="s">
        <v>61</v>
      </c>
      <c r="D165" s="8" t="n">
        <v>117.01924</v>
      </c>
      <c r="E165" s="9" t="n">
        <v>9.061</v>
      </c>
      <c r="F165" s="10" t="n">
        <v>1769793.83317135</v>
      </c>
      <c r="G165" s="10" t="n">
        <v>201283.05233288</v>
      </c>
      <c r="H165" s="10" t="n">
        <v>2290324.99283189</v>
      </c>
      <c r="I165" s="10" t="n">
        <v>385050.759588145</v>
      </c>
      <c r="J165" s="10" t="n">
        <v>2030059.41300162</v>
      </c>
      <c r="K165" s="11" t="n">
        <v>1.29411965953558</v>
      </c>
      <c r="L165" s="11" t="n">
        <v>0.371971020914035</v>
      </c>
      <c r="M165" s="11" t="n">
        <v>0.680224120122629</v>
      </c>
      <c r="N165" s="11" t="n">
        <v>0.201903015229196</v>
      </c>
      <c r="O165" s="12" t="n">
        <v>0.0201261441519885</v>
      </c>
      <c r="P165" s="12" t="n">
        <v>0.0776662742275453</v>
      </c>
      <c r="Q165" s="4" t="n">
        <f aca="false">RANK(N165,$N$7:$N$307,0)</f>
        <v>159</v>
      </c>
      <c r="R165" s="4" t="n">
        <f aca="false">RANK(O165,$O$7:$O$307,1)</f>
        <v>78</v>
      </c>
      <c r="S165" s="4" t="n">
        <f aca="false">RANK(J165,$J$7:$J$307,0)</f>
        <v>142</v>
      </c>
      <c r="T165" s="4" t="str">
        <f aca="false">IF(O165&lt;0.05,"YES","no")</f>
        <v>YES</v>
      </c>
      <c r="U165" s="4" t="str">
        <f aca="false">IF(P165&lt;0.05,"YES","no")</f>
        <v>no</v>
      </c>
      <c r="V165" s="4" t="str">
        <f aca="false">IF(N165&gt;1,"YES","no")</f>
        <v>no</v>
      </c>
    </row>
    <row r="166" customFormat="false" ht="15" hidden="false" customHeight="false" outlineLevel="0" collapsed="false">
      <c r="A166" s="4" t="s">
        <v>236</v>
      </c>
      <c r="B166" s="4"/>
      <c r="C166" s="4" t="s">
        <v>72</v>
      </c>
      <c r="D166" s="8" t="n">
        <v>664.11878</v>
      </c>
      <c r="E166" s="9" t="n">
        <v>8.315</v>
      </c>
      <c r="F166" s="10" t="n">
        <v>350812.026450899</v>
      </c>
      <c r="G166" s="10" t="n">
        <v>516850.163722829</v>
      </c>
      <c r="H166" s="10" t="n">
        <v>110470.009664614</v>
      </c>
      <c r="I166" s="10" t="n">
        <v>70677.7834081253</v>
      </c>
      <c r="J166" s="10" t="n">
        <v>230641.018057757</v>
      </c>
      <c r="K166" s="11" t="n">
        <v>0.314898011856147</v>
      </c>
      <c r="L166" s="11" t="n">
        <v>-1.66704344600195</v>
      </c>
      <c r="M166" s="11" t="n">
        <v>0.336113637462691</v>
      </c>
      <c r="N166" s="11" t="n">
        <v>0.201261539035922</v>
      </c>
      <c r="O166" s="12" t="n">
        <v>0.308567851690257</v>
      </c>
      <c r="P166" s="12" t="n">
        <v>0.426050107150309</v>
      </c>
      <c r="Q166" s="4" t="n">
        <f aca="false">RANK(N166,$N$7:$N$307,0)</f>
        <v>160</v>
      </c>
      <c r="R166" s="4" t="n">
        <f aca="false">RANK(O166,$O$7:$O$307,1)</f>
        <v>218</v>
      </c>
      <c r="S166" s="4" t="n">
        <f aca="false">RANK(J166,$J$7:$J$307,0)</f>
        <v>251</v>
      </c>
      <c r="T166" s="4" t="str">
        <f aca="false">IF(O166&lt;0.05,"YES","no")</f>
        <v>no</v>
      </c>
      <c r="U166" s="4" t="str">
        <f aca="false">IF(P166&lt;0.05,"YES","no")</f>
        <v>no</v>
      </c>
      <c r="V166" s="4" t="str">
        <f aca="false">IF(N166&gt;1,"YES","no")</f>
        <v>no</v>
      </c>
    </row>
    <row r="167" customFormat="false" ht="15" hidden="false" customHeight="false" outlineLevel="0" collapsed="false">
      <c r="A167" s="4" t="s">
        <v>265</v>
      </c>
      <c r="B167" s="4"/>
      <c r="C167" s="4" t="s">
        <v>61</v>
      </c>
      <c r="D167" s="8" t="n">
        <v>276.14413</v>
      </c>
      <c r="E167" s="9" t="n">
        <v>9.52</v>
      </c>
      <c r="F167" s="10" t="n">
        <v>911473.141342681</v>
      </c>
      <c r="G167" s="10" t="n">
        <v>473864.200543547</v>
      </c>
      <c r="H167" s="10" t="n">
        <v>1490784.51269487</v>
      </c>
      <c r="I167" s="10" t="n">
        <v>260891.360169864</v>
      </c>
      <c r="J167" s="10" t="n">
        <v>1201128.82701878</v>
      </c>
      <c r="K167" s="11" t="n">
        <v>1.63557700723777</v>
      </c>
      <c r="L167" s="11" t="n">
        <v>0.709799686870777</v>
      </c>
      <c r="M167" s="11" t="n">
        <v>0.638463768296568</v>
      </c>
      <c r="N167" s="11" t="n">
        <v>0.190634670971779</v>
      </c>
      <c r="O167" s="12" t="n">
        <v>0.0312420584816555</v>
      </c>
      <c r="P167" s="12" t="n">
        <v>0.0967950297078721</v>
      </c>
      <c r="Q167" s="4" t="n">
        <f aca="false">RANK(N167,$N$7:$N$307,0)</f>
        <v>161</v>
      </c>
      <c r="R167" s="4" t="n">
        <f aca="false">RANK(O167,$O$7:$O$307,1)</f>
        <v>97</v>
      </c>
      <c r="S167" s="4" t="n">
        <f aca="false">RANK(J167,$J$7:$J$307,0)</f>
        <v>166</v>
      </c>
      <c r="T167" s="4" t="str">
        <f aca="false">IF(O167&lt;0.05,"YES","no")</f>
        <v>YES</v>
      </c>
      <c r="U167" s="4" t="str">
        <f aca="false">IF(P167&lt;0.05,"YES","no")</f>
        <v>no</v>
      </c>
      <c r="V167" s="4" t="str">
        <f aca="false">IF(N167&gt;1,"YES","no")</f>
        <v>no</v>
      </c>
    </row>
    <row r="168" customFormat="false" ht="15" hidden="false" customHeight="false" outlineLevel="0" collapsed="false">
      <c r="A168" s="4" t="s">
        <v>327</v>
      </c>
      <c r="B168" s="4"/>
      <c r="C168" s="4" t="s">
        <v>72</v>
      </c>
      <c r="D168" s="8" t="n">
        <v>275.01716</v>
      </c>
      <c r="E168" s="9" t="n">
        <v>10.27</v>
      </c>
      <c r="F168" s="10" t="n">
        <v>207872.73225605</v>
      </c>
      <c r="G168" s="10" t="n">
        <v>186809.316322156</v>
      </c>
      <c r="H168" s="10" t="n">
        <v>929969.565054355</v>
      </c>
      <c r="I168" s="10" t="n">
        <v>831158.814668598</v>
      </c>
      <c r="J168" s="10" t="n">
        <v>568921.148655202</v>
      </c>
      <c r="K168" s="11" t="n">
        <v>4.4737448484049</v>
      </c>
      <c r="L168" s="11" t="n">
        <v>2.16148297735415</v>
      </c>
      <c r="M168" s="11" t="n">
        <v>0.548847531869383</v>
      </c>
      <c r="N168" s="11" t="n">
        <v>0.189011717867747</v>
      </c>
      <c r="O168" s="12" t="n">
        <v>0.0873693087402253</v>
      </c>
      <c r="P168" s="12" t="n">
        <v>0.182626124519499</v>
      </c>
      <c r="Q168" s="4" t="n">
        <f aca="false">RANK(N168,$N$7:$N$307,0)</f>
        <v>162</v>
      </c>
      <c r="R168" s="4" t="n">
        <f aca="false">RANK(O168,$O$7:$O$307,1)</f>
        <v>144</v>
      </c>
      <c r="S168" s="4" t="n">
        <f aca="false">RANK(J168,$J$7:$J$307,0)</f>
        <v>203</v>
      </c>
      <c r="T168" s="4" t="str">
        <f aca="false">IF(O168&lt;0.05,"YES","no")</f>
        <v>no</v>
      </c>
      <c r="U168" s="4" t="str">
        <f aca="false">IF(P168&lt;0.05,"YES","no")</f>
        <v>no</v>
      </c>
      <c r="V168" s="4" t="str">
        <f aca="false">IF(N168&gt;1,"YES","no")</f>
        <v>no</v>
      </c>
    </row>
    <row r="169" customFormat="false" ht="15" hidden="false" customHeight="false" outlineLevel="0" collapsed="false">
      <c r="A169" s="4" t="s">
        <v>281</v>
      </c>
      <c r="B169" s="4" t="s">
        <v>282</v>
      </c>
      <c r="C169" s="4" t="s">
        <v>72</v>
      </c>
      <c r="D169" s="8" t="n">
        <v>135.04506</v>
      </c>
      <c r="E169" s="9" t="n">
        <v>6.688</v>
      </c>
      <c r="F169" s="10" t="n">
        <v>6039071.30205102</v>
      </c>
      <c r="G169" s="10" t="n">
        <v>2094956.74436472</v>
      </c>
      <c r="H169" s="10" t="n">
        <v>7179860.42124483</v>
      </c>
      <c r="I169" s="10" t="n">
        <v>1894922.83588619</v>
      </c>
      <c r="J169" s="10" t="n">
        <v>6609465.86164793</v>
      </c>
      <c r="K169" s="11" t="n">
        <v>1.18890141581974</v>
      </c>
      <c r="L169" s="11" t="n">
        <v>0.249629091194115</v>
      </c>
      <c r="M169" s="11" t="n">
        <v>0.298551065542686</v>
      </c>
      <c r="N169" s="11" t="n">
        <v>0.182374052000751</v>
      </c>
      <c r="O169" s="12" t="n">
        <v>0.346115649475612</v>
      </c>
      <c r="P169" s="12" t="n">
        <v>0.469282930144861</v>
      </c>
      <c r="Q169" s="4" t="n">
        <f aca="false">RANK(N169,$N$7:$N$307,0)</f>
        <v>163</v>
      </c>
      <c r="R169" s="4" t="n">
        <f aca="false">RANK(O169,$O$7:$O$307,1)</f>
        <v>222</v>
      </c>
      <c r="S169" s="4" t="n">
        <f aca="false">RANK(J169,$J$7:$J$307,0)</f>
        <v>92</v>
      </c>
      <c r="T169" s="4" t="str">
        <f aca="false">IF(O169&lt;0.05,"YES","no")</f>
        <v>no</v>
      </c>
      <c r="U169" s="4" t="str">
        <f aca="false">IF(P169&lt;0.05,"YES","no")</f>
        <v>no</v>
      </c>
      <c r="V169" s="4" t="str">
        <f aca="false">IF(N169&gt;1,"YES","no")</f>
        <v>no</v>
      </c>
    </row>
    <row r="170" customFormat="false" ht="15" hidden="false" customHeight="false" outlineLevel="0" collapsed="false">
      <c r="A170" s="4" t="s">
        <v>336</v>
      </c>
      <c r="B170" s="4"/>
      <c r="C170" s="4" t="s">
        <v>72</v>
      </c>
      <c r="D170" s="8" t="n">
        <v>260.16046</v>
      </c>
      <c r="E170" s="9" t="n">
        <v>6.994</v>
      </c>
      <c r="F170" s="10" t="n">
        <v>297564.267667853</v>
      </c>
      <c r="G170" s="10" t="n">
        <v>101770.531153225</v>
      </c>
      <c r="H170" s="10" t="n">
        <v>800155.719597632</v>
      </c>
      <c r="I170" s="10" t="n">
        <v>435561.561132938</v>
      </c>
      <c r="J170" s="10" t="n">
        <v>548859.993632743</v>
      </c>
      <c r="K170" s="11" t="n">
        <v>2.68901816024087</v>
      </c>
      <c r="L170" s="11" t="n">
        <v>1.42707949846143</v>
      </c>
      <c r="M170" s="11" t="n">
        <v>0.656519686423088</v>
      </c>
      <c r="N170" s="11" t="n">
        <v>0.178957173931361</v>
      </c>
      <c r="O170" s="12" t="n">
        <v>0.03602945098619</v>
      </c>
      <c r="P170" s="12" t="n">
        <v>0.103037598643019</v>
      </c>
      <c r="Q170" s="4" t="n">
        <f aca="false">RANK(N170,$N$7:$N$307,0)</f>
        <v>164</v>
      </c>
      <c r="R170" s="4" t="n">
        <f aca="false">RANK(O170,$O$7:$O$307,1)</f>
        <v>105</v>
      </c>
      <c r="S170" s="4" t="n">
        <f aca="false">RANK(J170,$J$7:$J$307,0)</f>
        <v>204</v>
      </c>
      <c r="T170" s="4" t="str">
        <f aca="false">IF(O170&lt;0.05,"YES","no")</f>
        <v>YES</v>
      </c>
      <c r="U170" s="4" t="str">
        <f aca="false">IF(P170&lt;0.05,"YES","no")</f>
        <v>no</v>
      </c>
      <c r="V170" s="4" t="str">
        <f aca="false">IF(N170&gt;1,"YES","no")</f>
        <v>no</v>
      </c>
    </row>
    <row r="171" customFormat="false" ht="15" hidden="false" customHeight="false" outlineLevel="0" collapsed="false">
      <c r="A171" s="4" t="s">
        <v>273</v>
      </c>
      <c r="B171" s="4"/>
      <c r="C171" s="4" t="s">
        <v>72</v>
      </c>
      <c r="D171" s="8" t="n">
        <v>165.01942</v>
      </c>
      <c r="E171" s="9" t="n">
        <v>8.62</v>
      </c>
      <c r="F171" s="10" t="n">
        <v>1274962.9978787</v>
      </c>
      <c r="G171" s="10" t="n">
        <v>502010.227555756</v>
      </c>
      <c r="H171" s="10" t="n">
        <v>1854088.63189812</v>
      </c>
      <c r="I171" s="10" t="n">
        <v>383282.074444197</v>
      </c>
      <c r="J171" s="10" t="n">
        <v>1564525.81488841</v>
      </c>
      <c r="K171" s="11" t="n">
        <v>1.45422936585845</v>
      </c>
      <c r="L171" s="11" t="n">
        <v>0.540254833830715</v>
      </c>
      <c r="M171" s="11" t="n">
        <v>0.5790526214632</v>
      </c>
      <c r="N171" s="11" t="n">
        <v>0.176312155984341</v>
      </c>
      <c r="O171" s="12" t="n">
        <v>0.0502746326790117</v>
      </c>
      <c r="P171" s="12" t="n">
        <v>0.127165247364559</v>
      </c>
      <c r="Q171" s="4" t="n">
        <f aca="false">RANK(N171,$N$7:$N$307,0)</f>
        <v>165</v>
      </c>
      <c r="R171" s="4" t="n">
        <f aca="false">RANK(O171,$O$7:$O$307,1)</f>
        <v>119</v>
      </c>
      <c r="S171" s="4" t="n">
        <f aca="false">RANK(J171,$J$7:$J$307,0)</f>
        <v>152</v>
      </c>
      <c r="T171" s="4" t="str">
        <f aca="false">IF(O171&lt;0.05,"YES","no")</f>
        <v>no</v>
      </c>
      <c r="U171" s="4" t="str">
        <f aca="false">IF(P171&lt;0.05,"YES","no")</f>
        <v>no</v>
      </c>
      <c r="V171" s="4" t="str">
        <f aca="false">IF(N171&gt;1,"YES","no")</f>
        <v>no</v>
      </c>
    </row>
    <row r="172" customFormat="false" ht="15" hidden="false" customHeight="false" outlineLevel="0" collapsed="false">
      <c r="A172" s="4" t="s">
        <v>262</v>
      </c>
      <c r="B172" s="4"/>
      <c r="C172" s="4" t="s">
        <v>72</v>
      </c>
      <c r="D172" s="8" t="n">
        <v>290.1347</v>
      </c>
      <c r="E172" s="9" t="n">
        <v>9.152</v>
      </c>
      <c r="F172" s="10" t="n">
        <v>234279.748356857</v>
      </c>
      <c r="G172" s="10" t="n">
        <v>102658.333682886</v>
      </c>
      <c r="H172" s="10" t="n">
        <v>600382.994960876</v>
      </c>
      <c r="I172" s="10" t="n">
        <v>146884.138750678</v>
      </c>
      <c r="J172" s="10" t="n">
        <v>417331.371658866</v>
      </c>
      <c r="K172" s="11" t="n">
        <v>2.56267560116365</v>
      </c>
      <c r="L172" s="11" t="n">
        <v>1.35765086520269</v>
      </c>
      <c r="M172" s="11" t="n">
        <v>0.845356622781763</v>
      </c>
      <c r="N172" s="11" t="n">
        <v>0.174200750808619</v>
      </c>
      <c r="O172" s="12" t="n">
        <v>0.000748807379024046</v>
      </c>
      <c r="P172" s="12" t="n">
        <v>0.0201401215916247</v>
      </c>
      <c r="Q172" s="4" t="n">
        <f aca="false">RANK(N172,$N$7:$N$307,0)</f>
        <v>166</v>
      </c>
      <c r="R172" s="4" t="n">
        <f aca="false">RANK(O172,$O$7:$O$307,1)</f>
        <v>10</v>
      </c>
      <c r="S172" s="4" t="n">
        <f aca="false">RANK(J172,$J$7:$J$307,0)</f>
        <v>216</v>
      </c>
      <c r="T172" s="4" t="str">
        <f aca="false">IF(O172&lt;0.05,"YES","no")</f>
        <v>YES</v>
      </c>
      <c r="U172" s="4" t="str">
        <f aca="false">IF(P172&lt;0.05,"YES","no")</f>
        <v>YES</v>
      </c>
      <c r="V172" s="4" t="str">
        <f aca="false">IF(N172&gt;1,"YES","no")</f>
        <v>no</v>
      </c>
    </row>
    <row r="173" customFormat="false" ht="15" hidden="false" customHeight="false" outlineLevel="0" collapsed="false">
      <c r="A173" s="4" t="s">
        <v>259</v>
      </c>
      <c r="B173" s="4"/>
      <c r="C173" s="4" t="s">
        <v>61</v>
      </c>
      <c r="D173" s="8" t="n">
        <v>127.05014</v>
      </c>
      <c r="E173" s="9" t="n">
        <v>9.201</v>
      </c>
      <c r="F173" s="10" t="n">
        <v>1084398.51157561</v>
      </c>
      <c r="G173" s="10" t="n">
        <v>326213.719057011</v>
      </c>
      <c r="H173" s="10" t="n">
        <v>1508210.84682343</v>
      </c>
      <c r="I173" s="10" t="n">
        <v>318491.04675044</v>
      </c>
      <c r="J173" s="10" t="n">
        <v>1296304.67919952</v>
      </c>
      <c r="K173" s="11" t="n">
        <v>1.39082710896756</v>
      </c>
      <c r="L173" s="11" t="n">
        <v>0.475943092390938</v>
      </c>
      <c r="M173" s="11" t="n">
        <v>0.584339887988734</v>
      </c>
      <c r="N173" s="11" t="n">
        <v>0.172370610928685</v>
      </c>
      <c r="O173" s="12" t="n">
        <v>0.0460303548504708</v>
      </c>
      <c r="P173" s="12" t="n">
        <v>0.123220152203453</v>
      </c>
      <c r="Q173" s="4" t="n">
        <f aca="false">RANK(N173,$N$7:$N$307,0)</f>
        <v>167</v>
      </c>
      <c r="R173" s="4" t="n">
        <f aca="false">RANK(O173,$O$7:$O$307,1)</f>
        <v>112</v>
      </c>
      <c r="S173" s="4" t="n">
        <f aca="false">RANK(J173,$J$7:$J$307,0)</f>
        <v>160</v>
      </c>
      <c r="T173" s="4" t="str">
        <f aca="false">IF(O173&lt;0.05,"YES","no")</f>
        <v>YES</v>
      </c>
      <c r="U173" s="4" t="str">
        <f aca="false">IF(P173&lt;0.05,"YES","no")</f>
        <v>no</v>
      </c>
      <c r="V173" s="4" t="str">
        <f aca="false">IF(N173&gt;1,"YES","no")</f>
        <v>no</v>
      </c>
    </row>
    <row r="174" customFormat="false" ht="15" hidden="false" customHeight="false" outlineLevel="0" collapsed="false">
      <c r="A174" s="4" t="s">
        <v>308</v>
      </c>
      <c r="B174" s="4"/>
      <c r="C174" s="4" t="s">
        <v>61</v>
      </c>
      <c r="D174" s="8" t="n">
        <v>383.11398</v>
      </c>
      <c r="E174" s="9" t="n">
        <v>10.186</v>
      </c>
      <c r="F174" s="10" t="n">
        <v>485452.717087034</v>
      </c>
      <c r="G174" s="10" t="n">
        <v>128640.487660687</v>
      </c>
      <c r="H174" s="10" t="n">
        <v>878199.451797389</v>
      </c>
      <c r="I174" s="10" t="n">
        <v>193817.573788154</v>
      </c>
      <c r="J174" s="10" t="n">
        <v>681826.084442212</v>
      </c>
      <c r="K174" s="11" t="n">
        <v>1.80903190132921</v>
      </c>
      <c r="L174" s="11" t="n">
        <v>0.855217849354204</v>
      </c>
      <c r="M174" s="11" t="n">
        <v>0.794377619281098</v>
      </c>
      <c r="N174" s="11" t="n">
        <v>0.171956426638146</v>
      </c>
      <c r="O174" s="12" t="n">
        <v>0.00273781177911003</v>
      </c>
      <c r="P174" s="12" t="n">
        <v>0.0313148539861851</v>
      </c>
      <c r="Q174" s="4" t="n">
        <f aca="false">RANK(N174,$N$7:$N$307,0)</f>
        <v>168</v>
      </c>
      <c r="R174" s="4" t="n">
        <f aca="false">RANK(O174,$O$7:$O$307,1)</f>
        <v>25</v>
      </c>
      <c r="S174" s="4" t="n">
        <f aca="false">RANK(J174,$J$7:$J$307,0)</f>
        <v>192</v>
      </c>
      <c r="T174" s="4" t="str">
        <f aca="false">IF(O174&lt;0.05,"YES","no")</f>
        <v>YES</v>
      </c>
      <c r="U174" s="4" t="str">
        <f aca="false">IF(P174&lt;0.05,"YES","no")</f>
        <v>YES</v>
      </c>
      <c r="V174" s="4" t="str">
        <f aca="false">IF(N174&gt;1,"YES","no")</f>
        <v>no</v>
      </c>
    </row>
    <row r="175" customFormat="false" ht="15" hidden="false" customHeight="false" outlineLevel="0" collapsed="false">
      <c r="A175" s="4" t="s">
        <v>219</v>
      </c>
      <c r="B175" s="4"/>
      <c r="C175" s="4" t="s">
        <v>72</v>
      </c>
      <c r="D175" s="8" t="n">
        <v>131.08258</v>
      </c>
      <c r="E175" s="9" t="n">
        <v>11.631</v>
      </c>
      <c r="F175" s="10" t="n">
        <v>2026403.13229398</v>
      </c>
      <c r="G175" s="10" t="n">
        <v>840596.688450411</v>
      </c>
      <c r="H175" s="10" t="n">
        <v>2673580.848476</v>
      </c>
      <c r="I175" s="10" t="n">
        <v>745085.073614799</v>
      </c>
      <c r="J175" s="10" t="n">
        <v>2349991.99038499</v>
      </c>
      <c r="K175" s="11" t="n">
        <v>1.31937263907078</v>
      </c>
      <c r="L175" s="11" t="n">
        <v>0.399852091968314</v>
      </c>
      <c r="M175" s="11" t="n">
        <v>0.407541085940954</v>
      </c>
      <c r="N175" s="11" t="n">
        <v>0.171047457645356</v>
      </c>
      <c r="O175" s="12" t="n">
        <v>0.18893605920607</v>
      </c>
      <c r="P175" s="12" t="n">
        <v>0.300898168365223</v>
      </c>
      <c r="Q175" s="4" t="n">
        <f aca="false">RANK(N175,$N$7:$N$307,0)</f>
        <v>169</v>
      </c>
      <c r="R175" s="4" t="n">
        <f aca="false">RANK(O175,$O$7:$O$307,1)</f>
        <v>189</v>
      </c>
      <c r="S175" s="4" t="n">
        <f aca="false">RANK(J175,$J$7:$J$307,0)</f>
        <v>135</v>
      </c>
      <c r="T175" s="4" t="str">
        <f aca="false">IF(O175&lt;0.05,"YES","no")</f>
        <v>no</v>
      </c>
      <c r="U175" s="4" t="str">
        <f aca="false">IF(P175&lt;0.05,"YES","no")</f>
        <v>no</v>
      </c>
      <c r="V175" s="4" t="str">
        <f aca="false">IF(N175&gt;1,"YES","no")</f>
        <v>no</v>
      </c>
    </row>
    <row r="176" customFormat="false" ht="15" hidden="false" customHeight="false" outlineLevel="0" collapsed="false">
      <c r="A176" s="4" t="s">
        <v>320</v>
      </c>
      <c r="B176" s="4"/>
      <c r="C176" s="4" t="s">
        <v>61</v>
      </c>
      <c r="D176" s="8" t="n">
        <v>190.05434</v>
      </c>
      <c r="E176" s="9" t="n">
        <v>5.023</v>
      </c>
      <c r="F176" s="10" t="n">
        <v>260811.827436159</v>
      </c>
      <c r="G176" s="10" t="n">
        <v>255229.837508469</v>
      </c>
      <c r="H176" s="10" t="n">
        <v>706347.109351425</v>
      </c>
      <c r="I176" s="10" t="n">
        <v>241015.569537847</v>
      </c>
      <c r="J176" s="10" t="n">
        <v>483579.468393792</v>
      </c>
      <c r="K176" s="11" t="n">
        <v>2.70826333412477</v>
      </c>
      <c r="L176" s="11" t="n">
        <v>1.43736802412903</v>
      </c>
      <c r="M176" s="11" t="n">
        <v>0.701055715097624</v>
      </c>
      <c r="N176" s="11" t="n">
        <v>0.167769056693834</v>
      </c>
      <c r="O176" s="12" t="n">
        <v>0.0111245276574022</v>
      </c>
      <c r="P176" s="12" t="n">
        <v>0.0558080470813009</v>
      </c>
      <c r="Q176" s="4" t="n">
        <f aca="false">RANK(N176,$N$7:$N$307,0)</f>
        <v>170</v>
      </c>
      <c r="R176" s="4" t="n">
        <f aca="false">RANK(O176,$O$7:$O$307,1)</f>
        <v>60</v>
      </c>
      <c r="S176" s="4" t="n">
        <f aca="false">RANK(J176,$J$7:$J$307,0)</f>
        <v>211</v>
      </c>
      <c r="T176" s="4" t="str">
        <f aca="false">IF(O176&lt;0.05,"YES","no")</f>
        <v>YES</v>
      </c>
      <c r="U176" s="4" t="str">
        <f aca="false">IF(P176&lt;0.05,"YES","no")</f>
        <v>no</v>
      </c>
      <c r="V176" s="4" t="str">
        <f aca="false">IF(N176&gt;1,"YES","no")</f>
        <v>no</v>
      </c>
    </row>
    <row r="177" customFormat="false" ht="15" hidden="false" customHeight="false" outlineLevel="0" collapsed="false">
      <c r="A177" s="4" t="s">
        <v>343</v>
      </c>
      <c r="B177" s="4"/>
      <c r="C177" s="4" t="s">
        <v>61</v>
      </c>
      <c r="D177" s="8" t="n">
        <v>158.08232</v>
      </c>
      <c r="E177" s="9" t="n">
        <v>5.021</v>
      </c>
      <c r="F177" s="10" t="n">
        <v>388458.117055178</v>
      </c>
      <c r="G177" s="10" t="n">
        <v>305831.400929195</v>
      </c>
      <c r="H177" s="10" t="n">
        <v>873195.28031553</v>
      </c>
      <c r="I177" s="10" t="n">
        <v>366287.779000585</v>
      </c>
      <c r="J177" s="10" t="n">
        <v>630826.698685354</v>
      </c>
      <c r="K177" s="11" t="n">
        <v>2.24784923258921</v>
      </c>
      <c r="L177" s="11" t="n">
        <v>1.16854527457567</v>
      </c>
      <c r="M177" s="11" t="n">
        <v>0.618381059438325</v>
      </c>
      <c r="N177" s="11" t="n">
        <v>0.166361149405576</v>
      </c>
      <c r="O177" s="12" t="n">
        <v>0.0327772712375314</v>
      </c>
      <c r="P177" s="12" t="n">
        <v>0.0976827588366033</v>
      </c>
      <c r="Q177" s="4" t="n">
        <f aca="false">RANK(N177,$N$7:$N$307,0)</f>
        <v>171</v>
      </c>
      <c r="R177" s="4" t="n">
        <f aca="false">RANK(O177,$O$7:$O$307,1)</f>
        <v>101</v>
      </c>
      <c r="S177" s="4" t="n">
        <f aca="false">RANK(J177,$J$7:$J$307,0)</f>
        <v>196</v>
      </c>
      <c r="T177" s="4" t="str">
        <f aca="false">IF(O177&lt;0.05,"YES","no")</f>
        <v>YES</v>
      </c>
      <c r="U177" s="4" t="str">
        <f aca="false">IF(P177&lt;0.05,"YES","no")</f>
        <v>no</v>
      </c>
      <c r="V177" s="4" t="str">
        <f aca="false">IF(N177&gt;1,"YES","no")</f>
        <v>no</v>
      </c>
    </row>
    <row r="178" customFormat="false" ht="15" hidden="false" customHeight="false" outlineLevel="0" collapsed="false">
      <c r="A178" s="4" t="s">
        <v>261</v>
      </c>
      <c r="B178" s="4"/>
      <c r="C178" s="4" t="s">
        <v>61</v>
      </c>
      <c r="D178" s="8" t="n">
        <v>152.00239</v>
      </c>
      <c r="E178" s="9" t="n">
        <v>9.577</v>
      </c>
      <c r="F178" s="10" t="n">
        <v>195529.629170186</v>
      </c>
      <c r="G178" s="10" t="n">
        <v>102934.723881197</v>
      </c>
      <c r="H178" s="10" t="n">
        <v>499613.323300033</v>
      </c>
      <c r="I178" s="10" t="n">
        <v>113455.497138059</v>
      </c>
      <c r="J178" s="10" t="n">
        <v>347571.476235109</v>
      </c>
      <c r="K178" s="11" t="n">
        <v>2.55517961866116</v>
      </c>
      <c r="L178" s="11" t="n">
        <v>1.3534247102797</v>
      </c>
      <c r="M178" s="11" t="n">
        <v>0.838298373104814</v>
      </c>
      <c r="N178" s="11" t="n">
        <v>0.155993258267667</v>
      </c>
      <c r="O178" s="12" t="n">
        <v>0.000677284876820381</v>
      </c>
      <c r="P178" s="12" t="n">
        <v>0.0201401215916247</v>
      </c>
      <c r="Q178" s="4" t="n">
        <f aca="false">RANK(N178,$N$7:$N$307,0)</f>
        <v>172</v>
      </c>
      <c r="R178" s="4" t="n">
        <f aca="false">RANK(O178,$O$7:$O$307,1)</f>
        <v>8</v>
      </c>
      <c r="S178" s="4" t="n">
        <f aca="false">RANK(J178,$J$7:$J$307,0)</f>
        <v>226</v>
      </c>
      <c r="T178" s="4" t="str">
        <f aca="false">IF(O178&lt;0.05,"YES","no")</f>
        <v>YES</v>
      </c>
      <c r="U178" s="4" t="str">
        <f aca="false">IF(P178&lt;0.05,"YES","no")</f>
        <v>YES</v>
      </c>
      <c r="V178" s="4" t="str">
        <f aca="false">IF(N178&gt;1,"YES","no")</f>
        <v>no</v>
      </c>
    </row>
    <row r="179" customFormat="false" ht="15" hidden="false" customHeight="false" outlineLevel="0" collapsed="false">
      <c r="A179" s="4" t="s">
        <v>263</v>
      </c>
      <c r="B179" s="4"/>
      <c r="C179" s="4" t="s">
        <v>61</v>
      </c>
      <c r="D179" s="8" t="n">
        <v>308.09847</v>
      </c>
      <c r="E179" s="9" t="n">
        <v>9.023</v>
      </c>
      <c r="F179" s="10" t="n">
        <v>454594.162242816</v>
      </c>
      <c r="G179" s="10" t="n">
        <v>224362.473962863</v>
      </c>
      <c r="H179" s="10" t="n">
        <v>826751.500326009</v>
      </c>
      <c r="I179" s="10" t="n">
        <v>178712.190078032</v>
      </c>
      <c r="J179" s="10" t="n">
        <v>640672.831284413</v>
      </c>
      <c r="K179" s="11" t="n">
        <v>1.81865841885671</v>
      </c>
      <c r="L179" s="11" t="n">
        <v>0.862874600879835</v>
      </c>
      <c r="M179" s="11" t="n">
        <v>0.708866368297051</v>
      </c>
      <c r="N179" s="11" t="n">
        <v>0.154710550332853</v>
      </c>
      <c r="O179" s="12" t="n">
        <v>0.0104577232525921</v>
      </c>
      <c r="P179" s="12" t="n">
        <v>0.054950671357079</v>
      </c>
      <c r="Q179" s="4" t="n">
        <f aca="false">RANK(N179,$N$7:$N$307,0)</f>
        <v>173</v>
      </c>
      <c r="R179" s="4" t="n">
        <f aca="false">RANK(O179,$O$7:$O$307,1)</f>
        <v>57</v>
      </c>
      <c r="S179" s="4" t="n">
        <f aca="false">RANK(J179,$J$7:$J$307,0)</f>
        <v>195</v>
      </c>
      <c r="T179" s="4" t="str">
        <f aca="false">IF(O179&lt;0.05,"YES","no")</f>
        <v>YES</v>
      </c>
      <c r="U179" s="4" t="str">
        <f aca="false">IF(P179&lt;0.05,"YES","no")</f>
        <v>no</v>
      </c>
      <c r="V179" s="4" t="str">
        <f aca="false">IF(N179&gt;1,"YES","no")</f>
        <v>no</v>
      </c>
    </row>
    <row r="180" customFormat="false" ht="15" hidden="false" customHeight="false" outlineLevel="0" collapsed="false">
      <c r="A180" s="4" t="s">
        <v>356</v>
      </c>
      <c r="B180" s="4"/>
      <c r="C180" s="4" t="s">
        <v>72</v>
      </c>
      <c r="D180" s="8" t="n">
        <v>130.05101</v>
      </c>
      <c r="E180" s="9" t="n">
        <v>6.887</v>
      </c>
      <c r="F180" s="10" t="n">
        <v>286424.571891101</v>
      </c>
      <c r="G180" s="10" t="n">
        <v>118836.354696296</v>
      </c>
      <c r="H180" s="10" t="n">
        <v>607308.426526058</v>
      </c>
      <c r="I180" s="10" t="n">
        <v>170051.891114803</v>
      </c>
      <c r="J180" s="10" t="n">
        <v>446866.49920858</v>
      </c>
      <c r="K180" s="11" t="n">
        <v>2.12030840271958</v>
      </c>
      <c r="L180" s="11" t="n">
        <v>1.08427412267269</v>
      </c>
      <c r="M180" s="11" t="n">
        <v>0.767718940112519</v>
      </c>
      <c r="N180" s="11" t="n">
        <v>0.154283958944547</v>
      </c>
      <c r="O180" s="12" t="n">
        <v>0.00434090812628344</v>
      </c>
      <c r="P180" s="12" t="n">
        <v>0.0359425607722596</v>
      </c>
      <c r="Q180" s="4" t="n">
        <f aca="false">RANK(N180,$N$7:$N$307,0)</f>
        <v>174</v>
      </c>
      <c r="R180" s="4" t="n">
        <f aca="false">RANK(O180,$O$7:$O$307,1)</f>
        <v>36</v>
      </c>
      <c r="S180" s="4" t="n">
        <f aca="false">RANK(J180,$J$7:$J$307,0)</f>
        <v>215</v>
      </c>
      <c r="T180" s="4" t="str">
        <f aca="false">IF(O180&lt;0.05,"YES","no")</f>
        <v>YES</v>
      </c>
      <c r="U180" s="4" t="str">
        <f aca="false">IF(P180&lt;0.05,"YES","no")</f>
        <v>YES</v>
      </c>
      <c r="V180" s="4" t="str">
        <f aca="false">IF(N180&gt;1,"YES","no")</f>
        <v>no</v>
      </c>
    </row>
    <row r="181" customFormat="false" ht="15" hidden="false" customHeight="false" outlineLevel="0" collapsed="false">
      <c r="A181" s="4" t="s">
        <v>111</v>
      </c>
      <c r="B181" s="4"/>
      <c r="C181" s="4" t="s">
        <v>72</v>
      </c>
      <c r="D181" s="8" t="n">
        <v>514.28466</v>
      </c>
      <c r="E181" s="9" t="n">
        <v>4.74</v>
      </c>
      <c r="F181" s="10" t="n">
        <v>157206.420044282</v>
      </c>
      <c r="G181" s="10" t="n">
        <v>52174.0754717287</v>
      </c>
      <c r="H181" s="10" t="n">
        <v>437962.955074258</v>
      </c>
      <c r="I181" s="10" t="n">
        <v>141252.334295879</v>
      </c>
      <c r="J181" s="10" t="n">
        <v>297584.68755927</v>
      </c>
      <c r="K181" s="11" t="n">
        <v>2.78591011073781</v>
      </c>
      <c r="L181" s="11" t="n">
        <v>1.47814870916496</v>
      </c>
      <c r="M181" s="11" t="n">
        <v>0.822153652669132</v>
      </c>
      <c r="N181" s="11" t="n">
        <v>0.154037872612076</v>
      </c>
      <c r="O181" s="12" t="n">
        <v>0.00332564556241314</v>
      </c>
      <c r="P181" s="12" t="n">
        <v>0.0313148539861851</v>
      </c>
      <c r="Q181" s="4" t="n">
        <f aca="false">RANK(N181,$N$7:$N$307,0)</f>
        <v>175</v>
      </c>
      <c r="R181" s="4" t="n">
        <f aca="false">RANK(O181,$O$7:$O$307,1)</f>
        <v>31</v>
      </c>
      <c r="S181" s="4" t="n">
        <f aca="false">RANK(J181,$J$7:$J$307,0)</f>
        <v>236</v>
      </c>
      <c r="T181" s="4" t="str">
        <f aca="false">IF(O181&lt;0.05,"YES","no")</f>
        <v>YES</v>
      </c>
      <c r="U181" s="4" t="str">
        <f aca="false">IF(P181&lt;0.05,"YES","no")</f>
        <v>YES</v>
      </c>
      <c r="V181" s="4" t="str">
        <f aca="false">IF(N181&gt;1,"YES","no")</f>
        <v>no</v>
      </c>
    </row>
    <row r="182" customFormat="false" ht="15" hidden="false" customHeight="false" outlineLevel="0" collapsed="false">
      <c r="A182" s="4" t="s">
        <v>268</v>
      </c>
      <c r="B182" s="4"/>
      <c r="C182" s="4" t="s">
        <v>72</v>
      </c>
      <c r="D182" s="8" t="n">
        <v>96.04431</v>
      </c>
      <c r="E182" s="9" t="n">
        <v>6.894</v>
      </c>
      <c r="F182" s="10" t="n">
        <v>1023809.58193333</v>
      </c>
      <c r="G182" s="10" t="n">
        <v>267764.418640634</v>
      </c>
      <c r="H182" s="10" t="n">
        <v>1421345.0351318</v>
      </c>
      <c r="I182" s="10" t="n">
        <v>267896.445085883</v>
      </c>
      <c r="J182" s="10" t="n">
        <v>1222577.30853257</v>
      </c>
      <c r="K182" s="11" t="n">
        <v>1.38829042061491</v>
      </c>
      <c r="L182" s="11" t="n">
        <v>0.473309401167712</v>
      </c>
      <c r="M182" s="11" t="n">
        <v>0.630814054944625</v>
      </c>
      <c r="N182" s="11" t="n">
        <v>0.151448881034788</v>
      </c>
      <c r="O182" s="12" t="n">
        <v>0.0278500865483803</v>
      </c>
      <c r="P182" s="12" t="n">
        <v>0.0904285938393615</v>
      </c>
      <c r="Q182" s="4" t="n">
        <f aca="false">RANK(N182,$N$7:$N$307,0)</f>
        <v>176</v>
      </c>
      <c r="R182" s="4" t="n">
        <f aca="false">RANK(O182,$O$7:$O$307,1)</f>
        <v>91</v>
      </c>
      <c r="S182" s="4" t="n">
        <f aca="false">RANK(J182,$J$7:$J$307,0)</f>
        <v>162</v>
      </c>
      <c r="T182" s="4" t="str">
        <f aca="false">IF(O182&lt;0.05,"YES","no")</f>
        <v>YES</v>
      </c>
      <c r="U182" s="4" t="str">
        <f aca="false">IF(P182&lt;0.05,"YES","no")</f>
        <v>no</v>
      </c>
      <c r="V182" s="4" t="str">
        <f aca="false">IF(N182&gt;1,"YES","no")</f>
        <v>no</v>
      </c>
    </row>
    <row r="183" customFormat="false" ht="15" hidden="false" customHeight="false" outlineLevel="0" collapsed="false">
      <c r="A183" s="4" t="s">
        <v>337</v>
      </c>
      <c r="B183" s="4"/>
      <c r="C183" s="4" t="s">
        <v>72</v>
      </c>
      <c r="D183" s="8" t="n">
        <v>187.1077</v>
      </c>
      <c r="E183" s="9" t="n">
        <v>9.366</v>
      </c>
      <c r="F183" s="10" t="n">
        <v>431395.673824432</v>
      </c>
      <c r="G183" s="10" t="n">
        <v>148951.876219864</v>
      </c>
      <c r="H183" s="10" t="n">
        <v>795175.911909942</v>
      </c>
      <c r="I183" s="10" t="n">
        <v>244331.456374623</v>
      </c>
      <c r="J183" s="10" t="n">
        <v>613285.792867187</v>
      </c>
      <c r="K183" s="11" t="n">
        <v>1.84326352849231</v>
      </c>
      <c r="L183" s="11" t="n">
        <v>0.882262345558982</v>
      </c>
      <c r="M183" s="11" t="n">
        <v>0.701642970255064</v>
      </c>
      <c r="N183" s="11" t="n">
        <v>0.151389914211553</v>
      </c>
      <c r="O183" s="12" t="n">
        <v>0.013792620208048</v>
      </c>
      <c r="P183" s="12" t="n">
        <v>0.0621514652385822</v>
      </c>
      <c r="Q183" s="4" t="n">
        <f aca="false">RANK(N183,$N$7:$N$307,0)</f>
        <v>177</v>
      </c>
      <c r="R183" s="4" t="n">
        <f aca="false">RANK(O183,$O$7:$O$307,1)</f>
        <v>66</v>
      </c>
      <c r="S183" s="4" t="n">
        <f aca="false">RANK(J183,$J$7:$J$307,0)</f>
        <v>197</v>
      </c>
      <c r="T183" s="4" t="str">
        <f aca="false">IF(O183&lt;0.05,"YES","no")</f>
        <v>YES</v>
      </c>
      <c r="U183" s="4" t="str">
        <f aca="false">IF(P183&lt;0.05,"YES","no")</f>
        <v>no</v>
      </c>
      <c r="V183" s="4" t="str">
        <f aca="false">IF(N183&gt;1,"YES","no")</f>
        <v>no</v>
      </c>
    </row>
    <row r="184" customFormat="false" ht="15" hidden="false" customHeight="false" outlineLevel="0" collapsed="false">
      <c r="A184" s="4" t="s">
        <v>235</v>
      </c>
      <c r="B184" s="4"/>
      <c r="C184" s="4" t="s">
        <v>72</v>
      </c>
      <c r="D184" s="8" t="n">
        <v>204.08668</v>
      </c>
      <c r="E184" s="9" t="n">
        <v>8.886</v>
      </c>
      <c r="F184" s="10" t="n">
        <v>1275660.85986908</v>
      </c>
      <c r="G184" s="10" t="n">
        <v>405968.654744438</v>
      </c>
      <c r="H184" s="10" t="n">
        <v>1698125.98810363</v>
      </c>
      <c r="I184" s="10" t="n">
        <v>344908.655279657</v>
      </c>
      <c r="J184" s="10" t="n">
        <v>1486893.42398636</v>
      </c>
      <c r="K184" s="11" t="n">
        <v>1.33117354425839</v>
      </c>
      <c r="L184" s="11" t="n">
        <v>0.412698666756834</v>
      </c>
      <c r="M184" s="11" t="n">
        <v>0.523427644350007</v>
      </c>
      <c r="N184" s="11" t="n">
        <v>0.151296196301227</v>
      </c>
      <c r="O184" s="12" t="n">
        <v>0.0814913735645475</v>
      </c>
      <c r="P184" s="12" t="n">
        <v>0.172738756640344</v>
      </c>
      <c r="Q184" s="4" t="n">
        <f aca="false">RANK(N184,$N$7:$N$307,0)</f>
        <v>178</v>
      </c>
      <c r="R184" s="4" t="n">
        <f aca="false">RANK(O184,$O$7:$O$307,1)</f>
        <v>142</v>
      </c>
      <c r="S184" s="4" t="n">
        <f aca="false">RANK(J184,$J$7:$J$307,0)</f>
        <v>154</v>
      </c>
      <c r="T184" s="4" t="str">
        <f aca="false">IF(O184&lt;0.05,"YES","no")</f>
        <v>no</v>
      </c>
      <c r="U184" s="4" t="str">
        <f aca="false">IF(P184&lt;0.05,"YES","no")</f>
        <v>no</v>
      </c>
      <c r="V184" s="4" t="str">
        <f aca="false">IF(N184&gt;1,"YES","no")</f>
        <v>no</v>
      </c>
    </row>
    <row r="185" customFormat="false" ht="15" hidden="false" customHeight="false" outlineLevel="0" collapsed="false">
      <c r="A185" s="4" t="s">
        <v>264</v>
      </c>
      <c r="B185" s="4"/>
      <c r="C185" s="4" t="s">
        <v>61</v>
      </c>
      <c r="D185" s="8" t="n">
        <v>166.97516</v>
      </c>
      <c r="E185" s="9" t="n">
        <v>10.547</v>
      </c>
      <c r="F185" s="10" t="n">
        <v>490828.212172092</v>
      </c>
      <c r="G185" s="10" t="n">
        <v>477388.754382899</v>
      </c>
      <c r="H185" s="10" t="n">
        <v>512536.914066672</v>
      </c>
      <c r="I185" s="10" t="n">
        <v>87522.4960372481</v>
      </c>
      <c r="J185" s="10" t="n">
        <v>501682.563119382</v>
      </c>
      <c r="K185" s="11" t="n">
        <v>1.04422871659824</v>
      </c>
      <c r="L185" s="11" t="n">
        <v>0.0624377388839094</v>
      </c>
      <c r="M185" s="11" t="n">
        <v>0.0346256561327685</v>
      </c>
      <c r="N185" s="11" t="n">
        <v>0.150112746990528</v>
      </c>
      <c r="O185" s="12" t="n">
        <v>0.916759489281991</v>
      </c>
      <c r="P185" s="12" t="n">
        <v>0.954825627245257</v>
      </c>
      <c r="Q185" s="4" t="n">
        <f aca="false">RANK(N185,$N$7:$N$307,0)</f>
        <v>179</v>
      </c>
      <c r="R185" s="4" t="n">
        <f aca="false">RANK(O185,$O$7:$O$307,1)</f>
        <v>289</v>
      </c>
      <c r="S185" s="4" t="n">
        <f aca="false">RANK(J185,$J$7:$J$307,0)</f>
        <v>210</v>
      </c>
      <c r="T185" s="4" t="str">
        <f aca="false">IF(O185&lt;0.05,"YES","no")</f>
        <v>no</v>
      </c>
      <c r="U185" s="4" t="str">
        <f aca="false">IF(P185&lt;0.05,"YES","no")</f>
        <v>no</v>
      </c>
      <c r="V185" s="4" t="str">
        <f aca="false">IF(N185&gt;1,"YES","no")</f>
        <v>no</v>
      </c>
    </row>
    <row r="186" customFormat="false" ht="15" hidden="false" customHeight="false" outlineLevel="0" collapsed="false">
      <c r="A186" s="4" t="s">
        <v>376</v>
      </c>
      <c r="B186" s="4"/>
      <c r="C186" s="4" t="s">
        <v>72</v>
      </c>
      <c r="D186" s="8" t="n">
        <v>129.0658</v>
      </c>
      <c r="E186" s="9" t="n">
        <v>8.019</v>
      </c>
      <c r="F186" s="10" t="n">
        <v>1869001.96379033</v>
      </c>
      <c r="G186" s="10" t="n">
        <v>1215718.76833397</v>
      </c>
      <c r="H186" s="10" t="n">
        <v>1214327.75449165</v>
      </c>
      <c r="I186" s="10" t="n">
        <v>771003.400346068</v>
      </c>
      <c r="J186" s="10" t="n">
        <v>1541664.85914099</v>
      </c>
      <c r="K186" s="11" t="n">
        <v>0.649719892230073</v>
      </c>
      <c r="L186" s="11" t="n">
        <v>-0.622110218574284</v>
      </c>
      <c r="M186" s="11" t="n">
        <v>0.332247934049473</v>
      </c>
      <c r="N186" s="11" t="n">
        <v>0.149663057674541</v>
      </c>
      <c r="O186" s="12" t="n">
        <v>0.295942546043002</v>
      </c>
      <c r="P186" s="12" t="n">
        <v>0.412401418328442</v>
      </c>
      <c r="Q186" s="4" t="n">
        <f aca="false">RANK(N186,$N$7:$N$307,0)</f>
        <v>180</v>
      </c>
      <c r="R186" s="4" t="n">
        <f aca="false">RANK(O186,$O$7:$O$307,1)</f>
        <v>216</v>
      </c>
      <c r="S186" s="4" t="n">
        <f aca="false">RANK(J186,$J$7:$J$307,0)</f>
        <v>153</v>
      </c>
      <c r="T186" s="4" t="str">
        <f aca="false">IF(O186&lt;0.05,"YES","no")</f>
        <v>no</v>
      </c>
      <c r="U186" s="4" t="str">
        <f aca="false">IF(P186&lt;0.05,"YES","no")</f>
        <v>no</v>
      </c>
      <c r="V186" s="4" t="str">
        <f aca="false">IF(N186&gt;1,"YES","no")</f>
        <v>no</v>
      </c>
    </row>
    <row r="187" customFormat="false" ht="15" hidden="false" customHeight="false" outlineLevel="0" collapsed="false">
      <c r="A187" s="4" t="s">
        <v>313</v>
      </c>
      <c r="B187" s="4"/>
      <c r="C187" s="4" t="s">
        <v>72</v>
      </c>
      <c r="D187" s="8" t="n">
        <v>170.09235</v>
      </c>
      <c r="E187" s="9" t="n">
        <v>7.981</v>
      </c>
      <c r="F187" s="10" t="n">
        <v>1932154.91139504</v>
      </c>
      <c r="G187" s="10" t="n">
        <v>397066.170519467</v>
      </c>
      <c r="H187" s="10" t="n">
        <v>2474295.9950751</v>
      </c>
      <c r="I187" s="10" t="n">
        <v>877725.222629973</v>
      </c>
      <c r="J187" s="10" t="n">
        <v>2203225.45323507</v>
      </c>
      <c r="K187" s="11" t="n">
        <v>1.28058882881634</v>
      </c>
      <c r="L187" s="11" t="n">
        <v>0.356807329817857</v>
      </c>
      <c r="M187" s="11" t="n">
        <v>0.399596921788344</v>
      </c>
      <c r="N187" s="11" t="n">
        <v>0.149068494303487</v>
      </c>
      <c r="O187" s="12" t="n">
        <v>0.210708065962145</v>
      </c>
      <c r="P187" s="12" t="n">
        <v>0.328617242769978</v>
      </c>
      <c r="Q187" s="4" t="n">
        <f aca="false">RANK(N187,$N$7:$N$307,0)</f>
        <v>181</v>
      </c>
      <c r="R187" s="4" t="n">
        <f aca="false">RANK(O187,$O$7:$O$307,1)</f>
        <v>193</v>
      </c>
      <c r="S187" s="4" t="n">
        <f aca="false">RANK(J187,$J$7:$J$307,0)</f>
        <v>139</v>
      </c>
      <c r="T187" s="4" t="str">
        <f aca="false">IF(O187&lt;0.05,"YES","no")</f>
        <v>no</v>
      </c>
      <c r="U187" s="4" t="str">
        <f aca="false">IF(P187&lt;0.05,"YES","no")</f>
        <v>no</v>
      </c>
      <c r="V187" s="4" t="str">
        <f aca="false">IF(N187&gt;1,"YES","no")</f>
        <v>no</v>
      </c>
    </row>
    <row r="188" customFormat="false" ht="15" hidden="false" customHeight="false" outlineLevel="0" collapsed="false">
      <c r="A188" s="4" t="s">
        <v>291</v>
      </c>
      <c r="B188" s="4"/>
      <c r="C188" s="4" t="s">
        <v>72</v>
      </c>
      <c r="D188" s="8" t="n">
        <v>245.11326</v>
      </c>
      <c r="E188" s="9" t="n">
        <v>9.843</v>
      </c>
      <c r="F188" s="10" t="n">
        <v>418853.835518312</v>
      </c>
      <c r="G188" s="10" t="n">
        <v>197959.378966388</v>
      </c>
      <c r="H188" s="10" t="n">
        <v>748534.83245837</v>
      </c>
      <c r="I188" s="10" t="n">
        <v>164791.579184366</v>
      </c>
      <c r="J188" s="10" t="n">
        <v>583694.333988341</v>
      </c>
      <c r="K188" s="11" t="n">
        <v>1.78710272888415</v>
      </c>
      <c r="L188" s="11" t="n">
        <v>0.837622567894754</v>
      </c>
      <c r="M188" s="11" t="n">
        <v>0.704062230479964</v>
      </c>
      <c r="N188" s="11" t="n">
        <v>0.146159505310731</v>
      </c>
      <c r="O188" s="12" t="n">
        <v>0.0110095147861493</v>
      </c>
      <c r="P188" s="12" t="n">
        <v>0.0558080470813009</v>
      </c>
      <c r="Q188" s="4" t="n">
        <f aca="false">RANK(N188,$N$7:$N$307,0)</f>
        <v>182</v>
      </c>
      <c r="R188" s="4" t="n">
        <f aca="false">RANK(O188,$O$7:$O$307,1)</f>
        <v>59</v>
      </c>
      <c r="S188" s="4" t="n">
        <f aca="false">RANK(J188,$J$7:$J$307,0)</f>
        <v>200</v>
      </c>
      <c r="T188" s="4" t="str">
        <f aca="false">IF(O188&lt;0.05,"YES","no")</f>
        <v>YES</v>
      </c>
      <c r="U188" s="4" t="str">
        <f aca="false">IF(P188&lt;0.05,"YES","no")</f>
        <v>no</v>
      </c>
      <c r="V188" s="4" t="str">
        <f aca="false">IF(N188&gt;1,"YES","no")</f>
        <v>no</v>
      </c>
    </row>
    <row r="189" customFormat="false" ht="15" hidden="false" customHeight="false" outlineLevel="0" collapsed="false">
      <c r="A189" s="4" t="s">
        <v>341</v>
      </c>
      <c r="B189" s="4"/>
      <c r="C189" s="4" t="s">
        <v>72</v>
      </c>
      <c r="D189" s="8" t="n">
        <v>223.1076</v>
      </c>
      <c r="E189" s="9" t="n">
        <v>6.888</v>
      </c>
      <c r="F189" s="10" t="n">
        <v>273475.724519662</v>
      </c>
      <c r="G189" s="10" t="n">
        <v>159385.944380216</v>
      </c>
      <c r="H189" s="10" t="n">
        <v>636459.530938285</v>
      </c>
      <c r="I189" s="10" t="n">
        <v>295789.395104309</v>
      </c>
      <c r="J189" s="10" t="n">
        <v>454967.627728974</v>
      </c>
      <c r="K189" s="11" t="n">
        <v>2.32729808854579</v>
      </c>
      <c r="L189" s="11" t="n">
        <v>1.21865600804639</v>
      </c>
      <c r="M189" s="11" t="n">
        <v>0.64175502710486</v>
      </c>
      <c r="N189" s="11" t="n">
        <v>0.144626256607753</v>
      </c>
      <c r="O189" s="12" t="n">
        <v>0.0305010584462151</v>
      </c>
      <c r="P189" s="12" t="n">
        <v>0.0956335270032369</v>
      </c>
      <c r="Q189" s="4" t="n">
        <f aca="false">RANK(N189,$N$7:$N$307,0)</f>
        <v>183</v>
      </c>
      <c r="R189" s="4" t="n">
        <f aca="false">RANK(O189,$O$7:$O$307,1)</f>
        <v>96</v>
      </c>
      <c r="S189" s="4" t="n">
        <f aca="false">RANK(J189,$J$7:$J$307,0)</f>
        <v>214</v>
      </c>
      <c r="T189" s="4" t="str">
        <f aca="false">IF(O189&lt;0.05,"YES","no")</f>
        <v>YES</v>
      </c>
      <c r="U189" s="4" t="str">
        <f aca="false">IF(P189&lt;0.05,"YES","no")</f>
        <v>no</v>
      </c>
      <c r="V189" s="4" t="str">
        <f aca="false">IF(N189&gt;1,"YES","no")</f>
        <v>no</v>
      </c>
    </row>
    <row r="190" customFormat="false" ht="15" hidden="false" customHeight="false" outlineLevel="0" collapsed="false">
      <c r="A190" s="4" t="s">
        <v>232</v>
      </c>
      <c r="B190" s="4" t="s">
        <v>233</v>
      </c>
      <c r="C190" s="4" t="s">
        <v>61</v>
      </c>
      <c r="D190" s="8" t="n">
        <v>152.05666</v>
      </c>
      <c r="E190" s="9" t="n">
        <v>10.281</v>
      </c>
      <c r="F190" s="10" t="n">
        <v>2784327.43849102</v>
      </c>
      <c r="G190" s="10" t="n">
        <v>704345.501793473</v>
      </c>
      <c r="H190" s="10" t="n">
        <v>2830476.21515703</v>
      </c>
      <c r="I190" s="10" t="n">
        <v>1537688.51492957</v>
      </c>
      <c r="J190" s="10" t="n">
        <v>2807401.82682402</v>
      </c>
      <c r="K190" s="11" t="n">
        <v>1.01657447900274</v>
      </c>
      <c r="L190" s="11" t="n">
        <v>0.0237159176436758</v>
      </c>
      <c r="M190" s="11" t="n">
        <v>0.0211305665662228</v>
      </c>
      <c r="N190" s="11" t="n">
        <v>0.141961723493095</v>
      </c>
      <c r="O190" s="12" t="n">
        <v>0.948578927654983</v>
      </c>
      <c r="P190" s="12" t="n">
        <v>0.96391750325733</v>
      </c>
      <c r="Q190" s="4" t="n">
        <f aca="false">RANK(N190,$N$7:$N$307,0)</f>
        <v>184</v>
      </c>
      <c r="R190" s="4" t="n">
        <f aca="false">RANK(O190,$O$7:$O$307,1)</f>
        <v>293</v>
      </c>
      <c r="S190" s="4" t="n">
        <f aca="false">RANK(J190,$J$7:$J$307,0)</f>
        <v>126</v>
      </c>
      <c r="T190" s="4" t="str">
        <f aca="false">IF(O190&lt;0.05,"YES","no")</f>
        <v>no</v>
      </c>
      <c r="U190" s="4" t="str">
        <f aca="false">IF(P190&lt;0.05,"YES","no")</f>
        <v>no</v>
      </c>
      <c r="V190" s="4" t="str">
        <f aca="false">IF(N190&gt;1,"YES","no")</f>
        <v>no</v>
      </c>
    </row>
    <row r="191" customFormat="false" ht="15" hidden="false" customHeight="false" outlineLevel="0" collapsed="false">
      <c r="A191" s="4" t="s">
        <v>315</v>
      </c>
      <c r="B191" s="4"/>
      <c r="C191" s="4" t="s">
        <v>72</v>
      </c>
      <c r="D191" s="8" t="n">
        <v>686.14313</v>
      </c>
      <c r="E191" s="9" t="n">
        <v>7.038</v>
      </c>
      <c r="F191" s="10" t="n">
        <v>217999.255396194</v>
      </c>
      <c r="G191" s="10" t="n">
        <v>168787.065529667</v>
      </c>
      <c r="H191" s="10" t="n">
        <v>564970.521910811</v>
      </c>
      <c r="I191" s="10" t="n">
        <v>272088.864411551</v>
      </c>
      <c r="J191" s="10" t="n">
        <v>391484.888653502</v>
      </c>
      <c r="K191" s="11" t="n">
        <v>2.59161675063535</v>
      </c>
      <c r="L191" s="11" t="n">
        <v>1.37385238765224</v>
      </c>
      <c r="M191" s="11" t="n">
        <v>0.642916402540063</v>
      </c>
      <c r="N191" s="11" t="n">
        <v>0.141540208545112</v>
      </c>
      <c r="O191" s="12" t="n">
        <v>0.027997968950993</v>
      </c>
      <c r="P191" s="12" t="n">
        <v>0.0904285938393615</v>
      </c>
      <c r="Q191" s="4" t="n">
        <f aca="false">RANK(N191,$N$7:$N$307,0)</f>
        <v>185</v>
      </c>
      <c r="R191" s="4" t="n">
        <f aca="false">RANK(O191,$O$7:$O$307,1)</f>
        <v>92</v>
      </c>
      <c r="S191" s="4" t="n">
        <f aca="false">RANK(J191,$J$7:$J$307,0)</f>
        <v>220</v>
      </c>
      <c r="T191" s="4" t="str">
        <f aca="false">IF(O191&lt;0.05,"YES","no")</f>
        <v>YES</v>
      </c>
      <c r="U191" s="4" t="str">
        <f aca="false">IF(P191&lt;0.05,"YES","no")</f>
        <v>no</v>
      </c>
      <c r="V191" s="4" t="str">
        <f aca="false">IF(N191&gt;1,"YES","no")</f>
        <v>no</v>
      </c>
    </row>
    <row r="192" customFormat="false" ht="15" hidden="false" customHeight="false" outlineLevel="0" collapsed="false">
      <c r="A192" s="4" t="s">
        <v>294</v>
      </c>
      <c r="B192" s="4"/>
      <c r="C192" s="4" t="s">
        <v>61</v>
      </c>
      <c r="D192" s="8" t="n">
        <v>304.03389</v>
      </c>
      <c r="E192" s="9" t="n">
        <v>8.879</v>
      </c>
      <c r="F192" s="10" t="n">
        <v>351170.058654002</v>
      </c>
      <c r="G192" s="10" t="n">
        <v>235744.100831293</v>
      </c>
      <c r="H192" s="10" t="n">
        <v>738324.636669132</v>
      </c>
      <c r="I192" s="10" t="n">
        <v>452193.339514475</v>
      </c>
      <c r="J192" s="10" t="n">
        <v>544747.347661567</v>
      </c>
      <c r="K192" s="11" t="n">
        <v>2.10247035154151</v>
      </c>
      <c r="L192" s="11" t="n">
        <v>1.07208545613529</v>
      </c>
      <c r="M192" s="11" t="n">
        <v>0.506913529834313</v>
      </c>
      <c r="N192" s="11" t="n">
        <v>0.140651324512658</v>
      </c>
      <c r="O192" s="12" t="n">
        <v>0.10229088632698</v>
      </c>
      <c r="P192" s="12" t="n">
        <v>0.199932186911825</v>
      </c>
      <c r="Q192" s="4" t="n">
        <f aca="false">RANK(N192,$N$7:$N$307,0)</f>
        <v>186</v>
      </c>
      <c r="R192" s="4" t="n">
        <f aca="false">RANK(O192,$O$7:$O$307,1)</f>
        <v>154</v>
      </c>
      <c r="S192" s="4" t="n">
        <f aca="false">RANK(J192,$J$7:$J$307,0)</f>
        <v>206</v>
      </c>
      <c r="T192" s="4" t="str">
        <f aca="false">IF(O192&lt;0.05,"YES","no")</f>
        <v>no</v>
      </c>
      <c r="U192" s="4" t="str">
        <f aca="false">IF(P192&lt;0.05,"YES","no")</f>
        <v>no</v>
      </c>
      <c r="V192" s="4" t="str">
        <f aca="false">IF(N192&gt;1,"YES","no")</f>
        <v>no</v>
      </c>
    </row>
    <row r="193" customFormat="false" ht="15" hidden="false" customHeight="false" outlineLevel="0" collapsed="false">
      <c r="A193" s="4" t="s">
        <v>360</v>
      </c>
      <c r="B193" s="4"/>
      <c r="C193" s="4" t="s">
        <v>72</v>
      </c>
      <c r="D193" s="8" t="n">
        <v>203.13891</v>
      </c>
      <c r="E193" s="9" t="n">
        <v>5.031</v>
      </c>
      <c r="F193" s="10" t="n">
        <v>199350.094342926</v>
      </c>
      <c r="G193" s="10" t="n">
        <v>98098.3859430645</v>
      </c>
      <c r="H193" s="10" t="n">
        <v>560495.20529516</v>
      </c>
      <c r="I193" s="10" t="n">
        <v>355471.518144664</v>
      </c>
      <c r="J193" s="10" t="n">
        <v>379922.649819043</v>
      </c>
      <c r="K193" s="11" t="n">
        <v>2.81161244062912</v>
      </c>
      <c r="L193" s="11" t="n">
        <v>1.49139774358664</v>
      </c>
      <c r="M193" s="11" t="n">
        <v>0.604377563842347</v>
      </c>
      <c r="N193" s="11" t="n">
        <v>0.139993528922195</v>
      </c>
      <c r="O193" s="12" t="n">
        <v>0.0551160263323484</v>
      </c>
      <c r="P193" s="12" t="n">
        <v>0.129608780672163</v>
      </c>
      <c r="Q193" s="4" t="n">
        <f aca="false">RANK(N193,$N$7:$N$307,0)</f>
        <v>187</v>
      </c>
      <c r="R193" s="4" t="n">
        <f aca="false">RANK(O193,$O$7:$O$307,1)</f>
        <v>128</v>
      </c>
      <c r="S193" s="4" t="n">
        <f aca="false">RANK(J193,$J$7:$J$307,0)</f>
        <v>222</v>
      </c>
      <c r="T193" s="4" t="str">
        <f aca="false">IF(O193&lt;0.05,"YES","no")</f>
        <v>no</v>
      </c>
      <c r="U193" s="4" t="str">
        <f aca="false">IF(P193&lt;0.05,"YES","no")</f>
        <v>no</v>
      </c>
      <c r="V193" s="4" t="str">
        <f aca="false">IF(N193&gt;1,"YES","no")</f>
        <v>no</v>
      </c>
    </row>
    <row r="194" customFormat="false" ht="15" hidden="false" customHeight="false" outlineLevel="0" collapsed="false">
      <c r="A194" s="4" t="s">
        <v>366</v>
      </c>
      <c r="B194" s="4"/>
      <c r="C194" s="4" t="s">
        <v>72</v>
      </c>
      <c r="D194" s="8" t="n">
        <v>400.34208</v>
      </c>
      <c r="E194" s="9" t="n">
        <v>6.806</v>
      </c>
      <c r="F194" s="10" t="n">
        <v>677470.439254595</v>
      </c>
      <c r="G194" s="10" t="n">
        <v>219948.990478408</v>
      </c>
      <c r="H194" s="10" t="n">
        <v>343547.901494576</v>
      </c>
      <c r="I194" s="10" t="n">
        <v>412424.994651752</v>
      </c>
      <c r="J194" s="10" t="n">
        <v>510509.170374586</v>
      </c>
      <c r="K194" s="11" t="n">
        <v>0.507103899430024</v>
      </c>
      <c r="L194" s="11" t="n">
        <v>-0.979646726681339</v>
      </c>
      <c r="M194" s="11" t="n">
        <v>0.484187732978267</v>
      </c>
      <c r="N194" s="11" t="n">
        <v>0.139558146736863</v>
      </c>
      <c r="O194" s="12" t="n">
        <v>0.120059470877214</v>
      </c>
      <c r="P194" s="12" t="n">
        <v>0.21769819719302</v>
      </c>
      <c r="Q194" s="4" t="n">
        <f aca="false">RANK(N194,$N$7:$N$307,0)</f>
        <v>188</v>
      </c>
      <c r="R194" s="4" t="n">
        <f aca="false">RANK(O194,$O$7:$O$307,1)</f>
        <v>166</v>
      </c>
      <c r="S194" s="4" t="n">
        <f aca="false">RANK(J194,$J$7:$J$307,0)</f>
        <v>209</v>
      </c>
      <c r="T194" s="4" t="str">
        <f aca="false">IF(O194&lt;0.05,"YES","no")</f>
        <v>no</v>
      </c>
      <c r="U194" s="4" t="str">
        <f aca="false">IF(P194&lt;0.05,"YES","no")</f>
        <v>no</v>
      </c>
      <c r="V194" s="4" t="str">
        <f aca="false">IF(N194&gt;1,"YES","no")</f>
        <v>no</v>
      </c>
    </row>
    <row r="195" customFormat="false" ht="15" hidden="false" customHeight="false" outlineLevel="0" collapsed="false">
      <c r="A195" s="4" t="s">
        <v>289</v>
      </c>
      <c r="B195" s="4"/>
      <c r="C195" s="4" t="s">
        <v>61</v>
      </c>
      <c r="D195" s="8" t="n">
        <v>184.06037</v>
      </c>
      <c r="E195" s="9" t="n">
        <v>4.688</v>
      </c>
      <c r="F195" s="10" t="n">
        <v>512299.065624956</v>
      </c>
      <c r="G195" s="10" t="n">
        <v>531704.040659973</v>
      </c>
      <c r="H195" s="10" t="n">
        <v>864527.167954429</v>
      </c>
      <c r="I195" s="10" t="n">
        <v>96021.6418948117</v>
      </c>
      <c r="J195" s="10" t="n">
        <v>688413.116789693</v>
      </c>
      <c r="K195" s="11" t="n">
        <v>1.687543909337</v>
      </c>
      <c r="L195" s="11" t="n">
        <v>0.754925041101888</v>
      </c>
      <c r="M195" s="11" t="n">
        <v>0.450755243761651</v>
      </c>
      <c r="N195" s="11" t="n">
        <v>0.139320727350019</v>
      </c>
      <c r="O195" s="12" t="n">
        <v>0.167622388573382</v>
      </c>
      <c r="P195" s="12" t="n">
        <v>0.275278451459503</v>
      </c>
      <c r="Q195" s="4" t="n">
        <f aca="false">RANK(N195,$N$7:$N$307,0)</f>
        <v>189</v>
      </c>
      <c r="R195" s="4" t="n">
        <f aca="false">RANK(O195,$O$7:$O$307,1)</f>
        <v>183</v>
      </c>
      <c r="S195" s="4" t="n">
        <f aca="false">RANK(J195,$J$7:$J$307,0)</f>
        <v>191</v>
      </c>
      <c r="T195" s="4" t="str">
        <f aca="false">IF(O195&lt;0.05,"YES","no")</f>
        <v>no</v>
      </c>
      <c r="U195" s="4" t="str">
        <f aca="false">IF(P195&lt;0.05,"YES","no")</f>
        <v>no</v>
      </c>
      <c r="V195" s="4" t="str">
        <f aca="false">IF(N195&gt;1,"YES","no")</f>
        <v>no</v>
      </c>
    </row>
    <row r="196" customFormat="false" ht="15" hidden="false" customHeight="false" outlineLevel="0" collapsed="false">
      <c r="A196" s="4" t="s">
        <v>317</v>
      </c>
      <c r="B196" s="4"/>
      <c r="C196" s="4" t="s">
        <v>72</v>
      </c>
      <c r="D196" s="8" t="n">
        <v>347.0393</v>
      </c>
      <c r="E196" s="9" t="n">
        <v>10.1</v>
      </c>
      <c r="F196" s="10" t="n">
        <v>293820.5685271</v>
      </c>
      <c r="G196" s="10" t="n">
        <v>209347.167187225</v>
      </c>
      <c r="H196" s="10" t="n">
        <v>139348.908767295</v>
      </c>
      <c r="I196" s="10" t="n">
        <v>196059.545509148</v>
      </c>
      <c r="J196" s="10" t="n">
        <v>216584.738647197</v>
      </c>
      <c r="K196" s="11" t="n">
        <v>0.474265329571174</v>
      </c>
      <c r="L196" s="11" t="n">
        <v>-1.07623368859087</v>
      </c>
      <c r="M196" s="11" t="n">
        <v>0.385012886965283</v>
      </c>
      <c r="N196" s="11" t="n">
        <v>0.139066051410156</v>
      </c>
      <c r="O196" s="12" t="n">
        <v>0.216627566953473</v>
      </c>
      <c r="P196" s="12" t="n">
        <v>0.334384090528181</v>
      </c>
      <c r="Q196" s="4" t="n">
        <f aca="false">RANK(N196,$N$7:$N$307,0)</f>
        <v>190</v>
      </c>
      <c r="R196" s="4" t="n">
        <f aca="false">RANK(O196,$O$7:$O$307,1)</f>
        <v>195</v>
      </c>
      <c r="S196" s="4" t="n">
        <f aca="false">RANK(J196,$J$7:$J$307,0)</f>
        <v>254</v>
      </c>
      <c r="T196" s="4" t="str">
        <f aca="false">IF(O196&lt;0.05,"YES","no")</f>
        <v>no</v>
      </c>
      <c r="U196" s="4" t="str">
        <f aca="false">IF(P196&lt;0.05,"YES","no")</f>
        <v>no</v>
      </c>
      <c r="V196" s="4" t="str">
        <f aca="false">IF(N196&gt;1,"YES","no")</f>
        <v>no</v>
      </c>
    </row>
    <row r="197" customFormat="false" ht="15" hidden="false" customHeight="false" outlineLevel="0" collapsed="false">
      <c r="A197" s="4" t="s">
        <v>375</v>
      </c>
      <c r="B197" s="4"/>
      <c r="C197" s="4" t="s">
        <v>72</v>
      </c>
      <c r="D197" s="8" t="n">
        <v>283.06833</v>
      </c>
      <c r="E197" s="9" t="n">
        <v>8.572</v>
      </c>
      <c r="F197" s="10" t="n">
        <v>71188.2187368038</v>
      </c>
      <c r="G197" s="10" t="n">
        <v>89545.6730216121</v>
      </c>
      <c r="H197" s="10" t="n">
        <v>400116.16103438</v>
      </c>
      <c r="I197" s="10" t="n">
        <v>293017.766387109</v>
      </c>
      <c r="J197" s="10" t="n">
        <v>235652.189885592</v>
      </c>
      <c r="K197" s="11" t="n">
        <v>5.62053901803168</v>
      </c>
      <c r="L197" s="11" t="n">
        <v>2.49070849367605</v>
      </c>
      <c r="M197" s="11" t="n">
        <v>0.639380456929719</v>
      </c>
      <c r="N197" s="11" t="n">
        <v>0.137537991221533</v>
      </c>
      <c r="O197" s="12" t="n">
        <v>0.0395381612127465</v>
      </c>
      <c r="P197" s="12" t="n">
        <v>0.111224173131184</v>
      </c>
      <c r="Q197" s="4" t="n">
        <f aca="false">RANK(N197,$N$7:$N$307,0)</f>
        <v>191</v>
      </c>
      <c r="R197" s="4" t="n">
        <f aca="false">RANK(O197,$O$7:$O$307,1)</f>
        <v>107</v>
      </c>
      <c r="S197" s="4" t="n">
        <f aca="false">RANK(J197,$J$7:$J$307,0)</f>
        <v>250</v>
      </c>
      <c r="T197" s="4" t="str">
        <f aca="false">IF(O197&lt;0.05,"YES","no")</f>
        <v>YES</v>
      </c>
      <c r="U197" s="4" t="str">
        <f aca="false">IF(P197&lt;0.05,"YES","no")</f>
        <v>no</v>
      </c>
      <c r="V197" s="4" t="str">
        <f aca="false">IF(N197&gt;1,"YES","no")</f>
        <v>no</v>
      </c>
    </row>
    <row r="198" customFormat="false" ht="15" hidden="false" customHeight="false" outlineLevel="0" collapsed="false">
      <c r="A198" s="4" t="s">
        <v>266</v>
      </c>
      <c r="B198" s="4" t="s">
        <v>267</v>
      </c>
      <c r="C198" s="4" t="s">
        <v>61</v>
      </c>
      <c r="D198" s="8" t="n">
        <v>604.06976</v>
      </c>
      <c r="E198" s="9" t="n">
        <v>10.47</v>
      </c>
      <c r="F198" s="10" t="n">
        <v>914788.224732216</v>
      </c>
      <c r="G198" s="10" t="n">
        <v>561481.677903634</v>
      </c>
      <c r="H198" s="10" t="n">
        <v>1063782.75494192</v>
      </c>
      <c r="I198" s="10" t="n">
        <v>470926.050369148</v>
      </c>
      <c r="J198" s="10" t="n">
        <v>989285.489837068</v>
      </c>
      <c r="K198" s="11" t="n">
        <v>1.16287324889137</v>
      </c>
      <c r="L198" s="11" t="n">
        <v>0.217693854196026</v>
      </c>
      <c r="M198" s="11" t="n">
        <v>0.15556984632201</v>
      </c>
      <c r="N198" s="11" t="n">
        <v>0.1361884522561</v>
      </c>
      <c r="O198" s="12" t="n">
        <v>0.629560834358176</v>
      </c>
      <c r="P198" s="12" t="n">
        <v>0.728837735160811</v>
      </c>
      <c r="Q198" s="4" t="n">
        <f aca="false">RANK(N198,$N$7:$N$307,0)</f>
        <v>192</v>
      </c>
      <c r="R198" s="4" t="n">
        <f aca="false">RANK(O198,$O$7:$O$307,1)</f>
        <v>260</v>
      </c>
      <c r="S198" s="4" t="n">
        <f aca="false">RANK(J198,$J$7:$J$307,0)</f>
        <v>179</v>
      </c>
      <c r="T198" s="4" t="str">
        <f aca="false">IF(O198&lt;0.05,"YES","no")</f>
        <v>no</v>
      </c>
      <c r="U198" s="4" t="str">
        <f aca="false">IF(P198&lt;0.05,"YES","no")</f>
        <v>no</v>
      </c>
      <c r="V198" s="4" t="str">
        <f aca="false">IF(N198&gt;1,"YES","no")</f>
        <v>no</v>
      </c>
    </row>
    <row r="199" customFormat="false" ht="15" hidden="false" customHeight="false" outlineLevel="0" collapsed="false">
      <c r="A199" s="4" t="s">
        <v>249</v>
      </c>
      <c r="B199" s="4" t="s">
        <v>250</v>
      </c>
      <c r="C199" s="4" t="s">
        <v>61</v>
      </c>
      <c r="D199" s="8" t="n">
        <v>298.09695</v>
      </c>
      <c r="E199" s="9" t="n">
        <v>5.465</v>
      </c>
      <c r="F199" s="10" t="n">
        <v>1305459.27737168</v>
      </c>
      <c r="G199" s="10" t="n">
        <v>766482.447206819</v>
      </c>
      <c r="H199" s="10" t="n">
        <v>1333885.70564419</v>
      </c>
      <c r="I199" s="10" t="n">
        <v>804264.645764463</v>
      </c>
      <c r="J199" s="10" t="n">
        <v>1319672.49150793</v>
      </c>
      <c r="K199" s="11" t="n">
        <v>1.02177504022166</v>
      </c>
      <c r="L199" s="11" t="n">
        <v>0.0310775993272099</v>
      </c>
      <c r="M199" s="11" t="n">
        <v>0.0198150775374636</v>
      </c>
      <c r="N199" s="11" t="n">
        <v>0.134981424649521</v>
      </c>
      <c r="O199" s="12" t="n">
        <v>0.951264662240479</v>
      </c>
      <c r="P199" s="12" t="n">
        <v>0.96391750325733</v>
      </c>
      <c r="Q199" s="4" t="n">
        <f aca="false">RANK(N199,$N$7:$N$307,0)</f>
        <v>193</v>
      </c>
      <c r="R199" s="4" t="n">
        <f aca="false">RANK(O199,$O$7:$O$307,1)</f>
        <v>295</v>
      </c>
      <c r="S199" s="4" t="n">
        <f aca="false">RANK(J199,$J$7:$J$307,0)</f>
        <v>157</v>
      </c>
      <c r="T199" s="4" t="str">
        <f aca="false">IF(O199&lt;0.05,"YES","no")</f>
        <v>no</v>
      </c>
      <c r="U199" s="4" t="str">
        <f aca="false">IF(P199&lt;0.05,"YES","no")</f>
        <v>no</v>
      </c>
      <c r="V199" s="4" t="str">
        <f aca="false">IF(N199&gt;1,"YES","no")</f>
        <v>no</v>
      </c>
    </row>
    <row r="200" customFormat="false" ht="15" hidden="false" customHeight="false" outlineLevel="0" collapsed="false">
      <c r="A200" s="4" t="s">
        <v>260</v>
      </c>
      <c r="B200" s="4"/>
      <c r="C200" s="4" t="s">
        <v>72</v>
      </c>
      <c r="D200" s="8" t="n">
        <v>126.06621</v>
      </c>
      <c r="E200" s="9" t="n">
        <v>8.612</v>
      </c>
      <c r="F200" s="10" t="n">
        <v>1677655.17470606</v>
      </c>
      <c r="G200" s="10" t="n">
        <v>1636534.74288555</v>
      </c>
      <c r="H200" s="10" t="n">
        <v>1018338.15039737</v>
      </c>
      <c r="I200" s="10" t="n">
        <v>414689.828406231</v>
      </c>
      <c r="J200" s="10" t="n">
        <v>1347996.66255171</v>
      </c>
      <c r="K200" s="11" t="n">
        <v>0.607000869875298</v>
      </c>
      <c r="L200" s="11" t="n">
        <v>-0.720229510920607</v>
      </c>
      <c r="M200" s="11" t="n">
        <v>0.289546025170222</v>
      </c>
      <c r="N200" s="11" t="n">
        <v>0.134839065921444</v>
      </c>
      <c r="O200" s="12" t="n">
        <v>0.37795742149022</v>
      </c>
      <c r="P200" s="12" t="n">
        <v>0.49679119593256</v>
      </c>
      <c r="Q200" s="4" t="n">
        <f aca="false">RANK(N200,$N$7:$N$307,0)</f>
        <v>194</v>
      </c>
      <c r="R200" s="4" t="n">
        <f aca="false">RANK(O200,$O$7:$O$307,1)</f>
        <v>229</v>
      </c>
      <c r="S200" s="4" t="n">
        <f aca="false">RANK(J200,$J$7:$J$307,0)</f>
        <v>156</v>
      </c>
      <c r="T200" s="4" t="str">
        <f aca="false">IF(O200&lt;0.05,"YES","no")</f>
        <v>no</v>
      </c>
      <c r="U200" s="4" t="str">
        <f aca="false">IF(P200&lt;0.05,"YES","no")</f>
        <v>no</v>
      </c>
      <c r="V200" s="4" t="str">
        <f aca="false">IF(N200&gt;1,"YES","no")</f>
        <v>no</v>
      </c>
    </row>
    <row r="201" customFormat="false" ht="15" hidden="false" customHeight="false" outlineLevel="0" collapsed="false">
      <c r="A201" s="4" t="s">
        <v>311</v>
      </c>
      <c r="B201" s="4"/>
      <c r="C201" s="4" t="s">
        <v>72</v>
      </c>
      <c r="D201" s="8" t="n">
        <v>243.10881</v>
      </c>
      <c r="E201" s="9" t="n">
        <v>9.193</v>
      </c>
      <c r="F201" s="10" t="n">
        <v>134644.231157772</v>
      </c>
      <c r="G201" s="10" t="n">
        <v>86935.5537212589</v>
      </c>
      <c r="H201" s="10" t="n">
        <v>399407.58724822</v>
      </c>
      <c r="I201" s="10" t="n">
        <v>167443.787720685</v>
      </c>
      <c r="J201" s="10" t="n">
        <v>267025.909202996</v>
      </c>
      <c r="K201" s="11" t="n">
        <v>2.96639212696908</v>
      </c>
      <c r="L201" s="11" t="n">
        <v>1.5687093200585</v>
      </c>
      <c r="M201" s="11" t="n">
        <v>0.735950846489944</v>
      </c>
      <c r="N201" s="11" t="n">
        <v>0.133059476460064</v>
      </c>
      <c r="O201" s="12" t="n">
        <v>0.00974921960639992</v>
      </c>
      <c r="P201" s="12" t="n">
        <v>0.054950671357079</v>
      </c>
      <c r="Q201" s="4" t="n">
        <f aca="false">RANK(N201,$N$7:$N$307,0)</f>
        <v>195</v>
      </c>
      <c r="R201" s="4" t="n">
        <f aca="false">RANK(O201,$O$7:$O$307,1)</f>
        <v>51</v>
      </c>
      <c r="S201" s="4" t="n">
        <f aca="false">RANK(J201,$J$7:$J$307,0)</f>
        <v>241</v>
      </c>
      <c r="T201" s="4" t="str">
        <f aca="false">IF(O201&lt;0.05,"YES","no")</f>
        <v>YES</v>
      </c>
      <c r="U201" s="4" t="str">
        <f aca="false">IF(P201&lt;0.05,"YES","no")</f>
        <v>no</v>
      </c>
      <c r="V201" s="4" t="str">
        <f aca="false">IF(N201&gt;1,"YES","no")</f>
        <v>no</v>
      </c>
    </row>
    <row r="202" customFormat="false" ht="15" hidden="false" customHeight="false" outlineLevel="0" collapsed="false">
      <c r="A202" s="4" t="s">
        <v>204</v>
      </c>
      <c r="B202" s="4"/>
      <c r="C202" s="4" t="s">
        <v>61</v>
      </c>
      <c r="D202" s="8" t="n">
        <v>163.06138</v>
      </c>
      <c r="E202" s="9" t="n">
        <v>9.626</v>
      </c>
      <c r="F202" s="10" t="n">
        <v>1949736.19444902</v>
      </c>
      <c r="G202" s="10" t="n">
        <v>251230.199370554</v>
      </c>
      <c r="H202" s="10" t="n">
        <v>2333002.02665725</v>
      </c>
      <c r="I202" s="10" t="n">
        <v>572774.564298967</v>
      </c>
      <c r="J202" s="10" t="n">
        <v>2141369.11055314</v>
      </c>
      <c r="K202" s="11" t="n">
        <v>1.19657317400139</v>
      </c>
      <c r="L202" s="11" t="n">
        <v>0.258908624658246</v>
      </c>
      <c r="M202" s="11" t="n">
        <v>0.428806761678832</v>
      </c>
      <c r="N202" s="11" t="n">
        <v>0.132940407335408</v>
      </c>
      <c r="O202" s="12" t="n">
        <v>0.177933811018955</v>
      </c>
      <c r="P202" s="12" t="n">
        <v>0.289301751598734</v>
      </c>
      <c r="Q202" s="4" t="n">
        <f aca="false">RANK(N202,$N$7:$N$307,0)</f>
        <v>196</v>
      </c>
      <c r="R202" s="4" t="n">
        <f aca="false">RANK(O202,$O$7:$O$307,1)</f>
        <v>185</v>
      </c>
      <c r="S202" s="4" t="n">
        <f aca="false">RANK(J202,$J$7:$J$307,0)</f>
        <v>140</v>
      </c>
      <c r="T202" s="4" t="str">
        <f aca="false">IF(O202&lt;0.05,"YES","no")</f>
        <v>no</v>
      </c>
      <c r="U202" s="4" t="str">
        <f aca="false">IF(P202&lt;0.05,"YES","no")</f>
        <v>no</v>
      </c>
      <c r="V202" s="4" t="str">
        <f aca="false">IF(N202&gt;1,"YES","no")</f>
        <v>no</v>
      </c>
    </row>
    <row r="203" customFormat="false" ht="15" hidden="false" customHeight="false" outlineLevel="0" collapsed="false">
      <c r="A203" s="4" t="s">
        <v>350</v>
      </c>
      <c r="B203" s="4"/>
      <c r="C203" s="4" t="s">
        <v>72</v>
      </c>
      <c r="D203" s="8" t="n">
        <v>144.0666</v>
      </c>
      <c r="E203" s="9" t="n">
        <v>6.819</v>
      </c>
      <c r="F203" s="10" t="n">
        <v>363361.274697697</v>
      </c>
      <c r="G203" s="10" t="n">
        <v>207922.428877476</v>
      </c>
      <c r="H203" s="10" t="n">
        <v>708418.790459581</v>
      </c>
      <c r="I203" s="10" t="n">
        <v>332393.531587683</v>
      </c>
      <c r="J203" s="10" t="n">
        <v>535890.032578639</v>
      </c>
      <c r="K203" s="11" t="n">
        <v>1.94962655568885</v>
      </c>
      <c r="L203" s="11" t="n">
        <v>0.963197807127774</v>
      </c>
      <c r="M203" s="11" t="n">
        <v>0.563281314425424</v>
      </c>
      <c r="N203" s="11" t="n">
        <v>0.132243111414171</v>
      </c>
      <c r="O203" s="12" t="n">
        <v>0.0616270974856801</v>
      </c>
      <c r="P203" s="12" t="n">
        <v>0.141601193459463</v>
      </c>
      <c r="Q203" s="4" t="n">
        <f aca="false">RANK(N203,$N$7:$N$307,0)</f>
        <v>197</v>
      </c>
      <c r="R203" s="4" t="n">
        <f aca="false">RANK(O203,$O$7:$O$307,1)</f>
        <v>131</v>
      </c>
      <c r="S203" s="4" t="n">
        <f aca="false">RANK(J203,$J$7:$J$307,0)</f>
        <v>207</v>
      </c>
      <c r="T203" s="4" t="str">
        <f aca="false">IF(O203&lt;0.05,"YES","no")</f>
        <v>no</v>
      </c>
      <c r="U203" s="4" t="str">
        <f aca="false">IF(P203&lt;0.05,"YES","no")</f>
        <v>no</v>
      </c>
      <c r="V203" s="4" t="str">
        <f aca="false">IF(N203&gt;1,"YES","no")</f>
        <v>no</v>
      </c>
    </row>
    <row r="204" customFormat="false" ht="15" hidden="false" customHeight="false" outlineLevel="0" collapsed="false">
      <c r="A204" s="4" t="s">
        <v>347</v>
      </c>
      <c r="B204" s="4"/>
      <c r="C204" s="4" t="s">
        <v>72</v>
      </c>
      <c r="D204" s="8" t="n">
        <v>313.23841</v>
      </c>
      <c r="E204" s="9" t="n">
        <v>3.948</v>
      </c>
      <c r="F204" s="10" t="n">
        <v>1237297.11281194</v>
      </c>
      <c r="G204" s="10" t="n">
        <v>694645.233612479</v>
      </c>
      <c r="H204" s="10" t="n">
        <v>1175563.97626483</v>
      </c>
      <c r="I204" s="10" t="n">
        <v>519536.901662323</v>
      </c>
      <c r="J204" s="10" t="n">
        <v>1206430.54453839</v>
      </c>
      <c r="K204" s="11" t="n">
        <v>0.950106457125064</v>
      </c>
      <c r="L204" s="11" t="n">
        <v>-0.0738389219051947</v>
      </c>
      <c r="M204" s="11" t="n">
        <v>0.0550422395091581</v>
      </c>
      <c r="N204" s="11" t="n">
        <v>0.130848672623068</v>
      </c>
      <c r="O204" s="12" t="n">
        <v>0.865363127098917</v>
      </c>
      <c r="P204" s="12" t="n">
        <v>0.922693381925745</v>
      </c>
      <c r="Q204" s="4" t="n">
        <f aca="false">RANK(N204,$N$7:$N$307,0)</f>
        <v>198</v>
      </c>
      <c r="R204" s="4" t="n">
        <f aca="false">RANK(O204,$O$7:$O$307,1)</f>
        <v>282</v>
      </c>
      <c r="S204" s="4" t="n">
        <f aca="false">RANK(J204,$J$7:$J$307,0)</f>
        <v>164</v>
      </c>
      <c r="T204" s="4" t="str">
        <f aca="false">IF(O204&lt;0.05,"YES","no")</f>
        <v>no</v>
      </c>
      <c r="U204" s="4" t="str">
        <f aca="false">IF(P204&lt;0.05,"YES","no")</f>
        <v>no</v>
      </c>
      <c r="V204" s="4" t="str">
        <f aca="false">IF(N204&gt;1,"YES","no")</f>
        <v>no</v>
      </c>
    </row>
    <row r="205" customFormat="false" ht="15" hidden="false" customHeight="false" outlineLevel="0" collapsed="false">
      <c r="A205" s="4" t="s">
        <v>335</v>
      </c>
      <c r="B205" s="4"/>
      <c r="C205" s="4" t="s">
        <v>72</v>
      </c>
      <c r="D205" s="8" t="n">
        <v>240.1092</v>
      </c>
      <c r="E205" s="9" t="n">
        <v>9.82</v>
      </c>
      <c r="F205" s="10" t="n">
        <v>125446.163866128</v>
      </c>
      <c r="G205" s="10" t="n">
        <v>30100.6753663021</v>
      </c>
      <c r="H205" s="10" t="n">
        <v>328003.182961841</v>
      </c>
      <c r="I205" s="10" t="n">
        <v>96583.4546851606</v>
      </c>
      <c r="J205" s="10" t="n">
        <v>226724.673413984</v>
      </c>
      <c r="K205" s="11" t="n">
        <v>2.61469281206458</v>
      </c>
      <c r="L205" s="11" t="n">
        <v>1.38664146098713</v>
      </c>
      <c r="M205" s="11" t="n">
        <v>0.840444293603049</v>
      </c>
      <c r="N205" s="11" t="n">
        <v>0.126707244728122</v>
      </c>
      <c r="O205" s="12" t="n">
        <v>0.00274682938898065</v>
      </c>
      <c r="P205" s="12" t="n">
        <v>0.0313148539861851</v>
      </c>
      <c r="Q205" s="4" t="n">
        <f aca="false">RANK(N205,$N$7:$N$307,0)</f>
        <v>199</v>
      </c>
      <c r="R205" s="4" t="n">
        <f aca="false">RANK(O205,$O$7:$O$307,1)</f>
        <v>26</v>
      </c>
      <c r="S205" s="4" t="n">
        <f aca="false">RANK(J205,$J$7:$J$307,0)</f>
        <v>253</v>
      </c>
      <c r="T205" s="4" t="str">
        <f aca="false">IF(O205&lt;0.05,"YES","no")</f>
        <v>YES</v>
      </c>
      <c r="U205" s="4" t="str">
        <f aca="false">IF(P205&lt;0.05,"YES","no")</f>
        <v>YES</v>
      </c>
      <c r="V205" s="4" t="str">
        <f aca="false">IF(N205&gt;1,"YES","no")</f>
        <v>no</v>
      </c>
    </row>
    <row r="206" customFormat="false" ht="15" hidden="false" customHeight="false" outlineLevel="0" collapsed="false">
      <c r="A206" s="4" t="s">
        <v>258</v>
      </c>
      <c r="B206" s="4"/>
      <c r="C206" s="4" t="s">
        <v>61</v>
      </c>
      <c r="D206" s="8" t="n">
        <v>172.09791</v>
      </c>
      <c r="E206" s="9" t="n">
        <v>4.867</v>
      </c>
      <c r="F206" s="10" t="n">
        <v>215756.327763298</v>
      </c>
      <c r="G206" s="10" t="n">
        <v>162674.774311475</v>
      </c>
      <c r="H206" s="10" t="n">
        <v>482516.397852212</v>
      </c>
      <c r="I206" s="10" t="n">
        <v>294952.385804854</v>
      </c>
      <c r="J206" s="10" t="n">
        <v>349136.362807755</v>
      </c>
      <c r="K206" s="11" t="n">
        <v>2.23639511690972</v>
      </c>
      <c r="L206" s="11" t="n">
        <v>1.16117510000924</v>
      </c>
      <c r="M206" s="11" t="n">
        <v>0.522897229783604</v>
      </c>
      <c r="N206" s="11" t="n">
        <v>0.126122982546107</v>
      </c>
      <c r="O206" s="12" t="n">
        <v>0.0893696746913368</v>
      </c>
      <c r="P206" s="12" t="n">
        <v>0.182827628949596</v>
      </c>
      <c r="Q206" s="4" t="n">
        <f aca="false">RANK(N206,$N$7:$N$307,0)</f>
        <v>200</v>
      </c>
      <c r="R206" s="4" t="n">
        <f aca="false">RANK(O206,$O$7:$O$307,1)</f>
        <v>147</v>
      </c>
      <c r="S206" s="4" t="n">
        <f aca="false">RANK(J206,$J$7:$J$307,0)</f>
        <v>225</v>
      </c>
      <c r="T206" s="4" t="str">
        <f aca="false">IF(O206&lt;0.05,"YES","no")</f>
        <v>no</v>
      </c>
      <c r="U206" s="4" t="str">
        <f aca="false">IF(P206&lt;0.05,"YES","no")</f>
        <v>no</v>
      </c>
      <c r="V206" s="4" t="str">
        <f aca="false">IF(N206&gt;1,"YES","no")</f>
        <v>no</v>
      </c>
    </row>
    <row r="207" customFormat="false" ht="15" hidden="false" customHeight="false" outlineLevel="0" collapsed="false">
      <c r="A207" s="4" t="s">
        <v>238</v>
      </c>
      <c r="B207" s="4" t="s">
        <v>239</v>
      </c>
      <c r="C207" s="4" t="s">
        <v>72</v>
      </c>
      <c r="D207" s="8" t="n">
        <v>271.22774</v>
      </c>
      <c r="E207" s="9" t="n">
        <v>3.836</v>
      </c>
      <c r="F207" s="10" t="n">
        <v>5808049.02795471</v>
      </c>
      <c r="G207" s="10" t="n">
        <v>1869617.05590586</v>
      </c>
      <c r="H207" s="10" t="n">
        <v>6190060.91134144</v>
      </c>
      <c r="I207" s="10" t="n">
        <v>4037941.59513659</v>
      </c>
      <c r="J207" s="10" t="n">
        <v>5999054.96964808</v>
      </c>
      <c r="K207" s="11" t="n">
        <v>1.06577284068163</v>
      </c>
      <c r="L207" s="11" t="n">
        <v>0.0918999741711976</v>
      </c>
      <c r="M207" s="11" t="n">
        <v>0.0663524466138941</v>
      </c>
      <c r="N207" s="11" t="n">
        <v>0.123617128934481</v>
      </c>
      <c r="O207" s="12" t="n">
        <v>0.839391534332875</v>
      </c>
      <c r="P207" s="12" t="n">
        <v>0.908837596525883</v>
      </c>
      <c r="Q207" s="4" t="n">
        <f aca="false">RANK(N207,$N$7:$N$307,0)</f>
        <v>201</v>
      </c>
      <c r="R207" s="4" t="n">
        <f aca="false">RANK(O207,$O$7:$O$307,1)</f>
        <v>278</v>
      </c>
      <c r="S207" s="4" t="n">
        <f aca="false">RANK(J207,$J$7:$J$307,0)</f>
        <v>93</v>
      </c>
      <c r="T207" s="4" t="str">
        <f aca="false">IF(O207&lt;0.05,"YES","no")</f>
        <v>no</v>
      </c>
      <c r="U207" s="4" t="str">
        <f aca="false">IF(P207&lt;0.05,"YES","no")</f>
        <v>no</v>
      </c>
      <c r="V207" s="4" t="str">
        <f aca="false">IF(N207&gt;1,"YES","no")</f>
        <v>no</v>
      </c>
    </row>
    <row r="208" customFormat="false" ht="15" hidden="false" customHeight="false" outlineLevel="0" collapsed="false">
      <c r="A208" s="4" t="s">
        <v>305</v>
      </c>
      <c r="B208" s="4"/>
      <c r="C208" s="4" t="s">
        <v>61</v>
      </c>
      <c r="D208" s="8" t="n">
        <v>105.01929</v>
      </c>
      <c r="E208" s="9" t="n">
        <v>8.505</v>
      </c>
      <c r="F208" s="10" t="n">
        <v>639130.246546688</v>
      </c>
      <c r="G208" s="10" t="n">
        <v>293431.953464868</v>
      </c>
      <c r="H208" s="10" t="n">
        <v>897819.136432655</v>
      </c>
      <c r="I208" s="10" t="n">
        <v>201496.194401864</v>
      </c>
      <c r="J208" s="10" t="n">
        <v>768474.691489671</v>
      </c>
      <c r="K208" s="11" t="n">
        <v>1.40475144351828</v>
      </c>
      <c r="L208" s="11" t="n">
        <v>0.490314882811883</v>
      </c>
      <c r="M208" s="11" t="n">
        <v>0.490550586327922</v>
      </c>
      <c r="N208" s="11" t="n">
        <v>0.123508113859741</v>
      </c>
      <c r="O208" s="12" t="n">
        <v>0.109285552841879</v>
      </c>
      <c r="P208" s="12" t="n">
        <v>0.206740551240264</v>
      </c>
      <c r="Q208" s="4" t="n">
        <f aca="false">RANK(N208,$N$7:$N$307,0)</f>
        <v>202</v>
      </c>
      <c r="R208" s="4" t="n">
        <f aca="false">RANK(O208,$O$7:$O$307,1)</f>
        <v>158</v>
      </c>
      <c r="S208" s="4" t="n">
        <f aca="false">RANK(J208,$J$7:$J$307,0)</f>
        <v>188</v>
      </c>
      <c r="T208" s="4" t="str">
        <f aca="false">IF(O208&lt;0.05,"YES","no")</f>
        <v>no</v>
      </c>
      <c r="U208" s="4" t="str">
        <f aca="false">IF(P208&lt;0.05,"YES","no")</f>
        <v>no</v>
      </c>
      <c r="V208" s="4" t="str">
        <f aca="false">IF(N208&gt;1,"YES","no")</f>
        <v>no</v>
      </c>
    </row>
    <row r="209" customFormat="false" ht="15" hidden="false" customHeight="false" outlineLevel="0" collapsed="false">
      <c r="A209" s="4" t="s">
        <v>338</v>
      </c>
      <c r="B209" s="4" t="s">
        <v>339</v>
      </c>
      <c r="C209" s="4" t="s">
        <v>72</v>
      </c>
      <c r="D209" s="8" t="n">
        <v>342.56692</v>
      </c>
      <c r="E209" s="9" t="n">
        <v>5.026</v>
      </c>
      <c r="F209" s="10" t="n">
        <v>119750.980912974</v>
      </c>
      <c r="G209" s="10" t="n">
        <v>120767.435096804</v>
      </c>
      <c r="H209" s="10" t="n">
        <v>363384.112467258</v>
      </c>
      <c r="I209" s="10" t="n">
        <v>166670.055740213</v>
      </c>
      <c r="J209" s="10" t="n">
        <v>241567.546690116</v>
      </c>
      <c r="K209" s="11" t="n">
        <v>3.03449800324675</v>
      </c>
      <c r="L209" s="11" t="n">
        <v>1.60145787129886</v>
      </c>
      <c r="M209" s="11" t="n">
        <v>0.675812291965192</v>
      </c>
      <c r="N209" s="11" t="n">
        <v>0.123202838806563</v>
      </c>
      <c r="O209" s="12" t="n">
        <v>0.0173835758157401</v>
      </c>
      <c r="P209" s="12" t="n">
        <v>0.0710387720344875</v>
      </c>
      <c r="Q209" s="4" t="n">
        <f aca="false">RANK(N209,$N$7:$N$307,0)</f>
        <v>203</v>
      </c>
      <c r="R209" s="4" t="n">
        <f aca="false">RANK(O209,$O$7:$O$307,1)</f>
        <v>71</v>
      </c>
      <c r="S209" s="4" t="n">
        <f aca="false">RANK(J209,$J$7:$J$307,0)</f>
        <v>247</v>
      </c>
      <c r="T209" s="4" t="str">
        <f aca="false">IF(O209&lt;0.05,"YES","no")</f>
        <v>YES</v>
      </c>
      <c r="U209" s="4" t="str">
        <f aca="false">IF(P209&lt;0.05,"YES","no")</f>
        <v>no</v>
      </c>
      <c r="V209" s="4" t="str">
        <f aca="false">IF(N209&gt;1,"YES","no")</f>
        <v>no</v>
      </c>
    </row>
    <row r="210" customFormat="false" ht="15" hidden="false" customHeight="false" outlineLevel="0" collapsed="false">
      <c r="A210" s="4" t="s">
        <v>288</v>
      </c>
      <c r="B210" s="4"/>
      <c r="C210" s="4" t="s">
        <v>61</v>
      </c>
      <c r="D210" s="8" t="n">
        <v>426.02229</v>
      </c>
      <c r="E210" s="9" t="n">
        <v>10.983</v>
      </c>
      <c r="F210" s="10" t="n">
        <v>1100770.20583997</v>
      </c>
      <c r="G210" s="10" t="n">
        <v>717847.85062592</v>
      </c>
      <c r="H210" s="10" t="n">
        <v>923389.855694432</v>
      </c>
      <c r="I210" s="10" t="n">
        <v>643903.053812744</v>
      </c>
      <c r="J210" s="10" t="n">
        <v>1012080.0307672</v>
      </c>
      <c r="K210" s="11" t="n">
        <v>0.838857965809326</v>
      </c>
      <c r="L210" s="11" t="n">
        <v>-0.253501538536023</v>
      </c>
      <c r="M210" s="11" t="n">
        <v>0.141057099775442</v>
      </c>
      <c r="N210" s="11" t="n">
        <v>0.119096712379163</v>
      </c>
      <c r="O210" s="12" t="n">
        <v>0.662023876068241</v>
      </c>
      <c r="P210" s="12" t="n">
        <v>0.757677515956428</v>
      </c>
      <c r="Q210" s="4" t="n">
        <f aca="false">RANK(N210,$N$7:$N$307,0)</f>
        <v>204</v>
      </c>
      <c r="R210" s="4" t="n">
        <f aca="false">RANK(O210,$O$7:$O$307,1)</f>
        <v>263</v>
      </c>
      <c r="S210" s="4" t="n">
        <f aca="false">RANK(J210,$J$7:$J$307,0)</f>
        <v>176</v>
      </c>
      <c r="T210" s="4" t="str">
        <f aca="false">IF(O210&lt;0.05,"YES","no")</f>
        <v>no</v>
      </c>
      <c r="U210" s="4" t="str">
        <f aca="false">IF(P210&lt;0.05,"YES","no")</f>
        <v>no</v>
      </c>
      <c r="V210" s="4" t="str">
        <f aca="false">IF(N210&gt;1,"YES","no")</f>
        <v>no</v>
      </c>
    </row>
    <row r="211" customFormat="false" ht="15" hidden="false" customHeight="false" outlineLevel="0" collapsed="false">
      <c r="A211" s="4" t="s">
        <v>309</v>
      </c>
      <c r="B211" s="4"/>
      <c r="C211" s="4" t="s">
        <v>72</v>
      </c>
      <c r="D211" s="8" t="n">
        <v>306.07599</v>
      </c>
      <c r="E211" s="9" t="n">
        <v>10.096</v>
      </c>
      <c r="F211" s="10" t="n">
        <v>856429.149229025</v>
      </c>
      <c r="G211" s="10" t="n">
        <v>307096.658695577</v>
      </c>
      <c r="H211" s="10" t="n">
        <v>1134557.9800337</v>
      </c>
      <c r="I211" s="10" t="n">
        <v>228871.198092842</v>
      </c>
      <c r="J211" s="10" t="n">
        <v>995493.56463136</v>
      </c>
      <c r="K211" s="11" t="n">
        <v>1.32475404539307</v>
      </c>
      <c r="L211" s="11" t="n">
        <v>0.405724532936719</v>
      </c>
      <c r="M211" s="11" t="n">
        <v>0.490259770784694</v>
      </c>
      <c r="N211" s="11" t="n">
        <v>0.117954061688249</v>
      </c>
      <c r="O211" s="12" t="n">
        <v>0.108100779612715</v>
      </c>
      <c r="P211" s="12" t="n">
        <v>0.206740551240264</v>
      </c>
      <c r="Q211" s="4" t="n">
        <f aca="false">RANK(N211,$N$7:$N$307,0)</f>
        <v>205</v>
      </c>
      <c r="R211" s="4" t="n">
        <f aca="false">RANK(O211,$O$7:$O$307,1)</f>
        <v>156</v>
      </c>
      <c r="S211" s="4" t="n">
        <f aca="false">RANK(J211,$J$7:$J$307,0)</f>
        <v>178</v>
      </c>
      <c r="T211" s="4" t="str">
        <f aca="false">IF(O211&lt;0.05,"YES","no")</f>
        <v>no</v>
      </c>
      <c r="U211" s="4" t="str">
        <f aca="false">IF(P211&lt;0.05,"YES","no")</f>
        <v>no</v>
      </c>
      <c r="V211" s="4" t="str">
        <f aca="false">IF(N211&gt;1,"YES","no")</f>
        <v>no</v>
      </c>
    </row>
    <row r="212" customFormat="false" ht="15" hidden="false" customHeight="false" outlineLevel="0" collapsed="false">
      <c r="A212" s="4" t="s">
        <v>223</v>
      </c>
      <c r="B212" s="4" t="s">
        <v>224</v>
      </c>
      <c r="C212" s="4" t="s">
        <v>61</v>
      </c>
      <c r="D212" s="8" t="n">
        <v>579.0272</v>
      </c>
      <c r="E212" s="9" t="n">
        <v>10.234</v>
      </c>
      <c r="F212" s="10" t="n">
        <v>1032326.13065448</v>
      </c>
      <c r="G212" s="10" t="n">
        <v>575369.808725652</v>
      </c>
      <c r="H212" s="10" t="n">
        <v>1409202.75277548</v>
      </c>
      <c r="I212" s="10" t="n">
        <v>496336.253348852</v>
      </c>
      <c r="J212" s="10" t="n">
        <v>1220764.44171498</v>
      </c>
      <c r="K212" s="11" t="n">
        <v>1.36507515496296</v>
      </c>
      <c r="L212" s="11" t="n">
        <v>0.448980381700141</v>
      </c>
      <c r="M212" s="11" t="n">
        <v>0.358626189132254</v>
      </c>
      <c r="N212" s="11" t="n">
        <v>0.116757137149013</v>
      </c>
      <c r="O212" s="12" t="n">
        <v>0.252898429650099</v>
      </c>
      <c r="P212" s="12" t="n">
        <v>0.373005174352539</v>
      </c>
      <c r="Q212" s="4" t="n">
        <f aca="false">RANK(N212,$N$7:$N$307,0)</f>
        <v>206</v>
      </c>
      <c r="R212" s="4" t="n">
        <f aca="false">RANK(O212,$O$7:$O$307,1)</f>
        <v>204</v>
      </c>
      <c r="S212" s="4" t="n">
        <f aca="false">RANK(J212,$J$7:$J$307,0)</f>
        <v>163</v>
      </c>
      <c r="T212" s="4" t="str">
        <f aca="false">IF(O212&lt;0.05,"YES","no")</f>
        <v>no</v>
      </c>
      <c r="U212" s="4" t="str">
        <f aca="false">IF(P212&lt;0.05,"YES","no")</f>
        <v>no</v>
      </c>
      <c r="V212" s="4" t="str">
        <f aca="false">IF(N212&gt;1,"YES","no")</f>
        <v>no</v>
      </c>
    </row>
    <row r="213" customFormat="false" ht="15" hidden="false" customHeight="false" outlineLevel="0" collapsed="false">
      <c r="A213" s="4" t="s">
        <v>284</v>
      </c>
      <c r="B213" s="4"/>
      <c r="C213" s="4" t="s">
        <v>72</v>
      </c>
      <c r="D213" s="8" t="n">
        <v>403.55546</v>
      </c>
      <c r="E213" s="9" t="n">
        <v>8.307</v>
      </c>
      <c r="F213" s="10" t="n">
        <v>166714.073902872</v>
      </c>
      <c r="G213" s="10" t="n">
        <v>143359.201812217</v>
      </c>
      <c r="H213" s="10" t="n">
        <v>87829.4701148342</v>
      </c>
      <c r="I213" s="10" t="n">
        <v>47876.2335934515</v>
      </c>
      <c r="J213" s="10" t="n">
        <v>127271.772008853</v>
      </c>
      <c r="K213" s="11" t="n">
        <v>0.526826968225875</v>
      </c>
      <c r="L213" s="11" t="n">
        <v>-0.924598895971195</v>
      </c>
      <c r="M213" s="11" t="n">
        <v>0.374808541331949</v>
      </c>
      <c r="N213" s="11" t="n">
        <v>0.116109265712988</v>
      </c>
      <c r="O213" s="12" t="n">
        <v>0.247567282748003</v>
      </c>
      <c r="P213" s="12" t="n">
        <v>0.367082522695315</v>
      </c>
      <c r="Q213" s="4" t="n">
        <f aca="false">RANK(N213,$N$7:$N$307,0)</f>
        <v>207</v>
      </c>
      <c r="R213" s="4" t="n">
        <f aca="false">RANK(O213,$O$7:$O$307,1)</f>
        <v>203</v>
      </c>
      <c r="S213" s="4" t="n">
        <f aca="false">RANK(J213,$J$7:$J$307,0)</f>
        <v>273</v>
      </c>
      <c r="T213" s="4" t="str">
        <f aca="false">IF(O213&lt;0.05,"YES","no")</f>
        <v>no</v>
      </c>
      <c r="U213" s="4" t="str">
        <f aca="false">IF(P213&lt;0.05,"YES","no")</f>
        <v>no</v>
      </c>
      <c r="V213" s="4" t="str">
        <f aca="false">IF(N213&gt;1,"YES","no")</f>
        <v>no</v>
      </c>
    </row>
    <row r="214" customFormat="false" ht="15" hidden="false" customHeight="false" outlineLevel="0" collapsed="false">
      <c r="A214" s="4" t="s">
        <v>279</v>
      </c>
      <c r="B214" s="4"/>
      <c r="C214" s="4" t="s">
        <v>61</v>
      </c>
      <c r="D214" s="8" t="n">
        <v>402.99448</v>
      </c>
      <c r="E214" s="9" t="n">
        <v>10.398</v>
      </c>
      <c r="F214" s="10" t="n">
        <v>396530.582413414</v>
      </c>
      <c r="G214" s="10" t="n">
        <v>263143.529372407</v>
      </c>
      <c r="H214" s="10" t="n">
        <v>313189.415098607</v>
      </c>
      <c r="I214" s="10" t="n">
        <v>291072.950040946</v>
      </c>
      <c r="J214" s="10" t="n">
        <v>354859.99875601</v>
      </c>
      <c r="K214" s="11" t="n">
        <v>0.789824111906917</v>
      </c>
      <c r="L214" s="11" t="n">
        <v>-0.34039668353687</v>
      </c>
      <c r="M214" s="11" t="n">
        <v>0.162338157750524</v>
      </c>
      <c r="N214" s="11" t="n">
        <v>0.116037531132674</v>
      </c>
      <c r="O214" s="12" t="n">
        <v>0.614317319063107</v>
      </c>
      <c r="P214" s="12" t="n">
        <v>0.716703538906958</v>
      </c>
      <c r="Q214" s="4" t="n">
        <f aca="false">RANK(N214,$N$7:$N$307,0)</f>
        <v>208</v>
      </c>
      <c r="R214" s="4" t="n">
        <f aca="false">RANK(O214,$O$7:$O$307,1)</f>
        <v>258</v>
      </c>
      <c r="S214" s="4" t="n">
        <f aca="false">RANK(J214,$J$7:$J$307,0)</f>
        <v>224</v>
      </c>
      <c r="T214" s="4" t="str">
        <f aca="false">IF(O214&lt;0.05,"YES","no")</f>
        <v>no</v>
      </c>
      <c r="U214" s="4" t="str">
        <f aca="false">IF(P214&lt;0.05,"YES","no")</f>
        <v>no</v>
      </c>
      <c r="V214" s="4" t="str">
        <f aca="false">IF(N214&gt;1,"YES","no")</f>
        <v>no</v>
      </c>
    </row>
    <row r="215" customFormat="false" ht="15" hidden="false" customHeight="false" outlineLevel="0" collapsed="false">
      <c r="A215" s="4" t="s">
        <v>277</v>
      </c>
      <c r="B215" s="4" t="s">
        <v>278</v>
      </c>
      <c r="C215" s="4" t="s">
        <v>72</v>
      </c>
      <c r="D215" s="8" t="n">
        <v>141.06581</v>
      </c>
      <c r="E215" s="9" t="n">
        <v>8.483</v>
      </c>
      <c r="F215" s="10" t="n">
        <v>1261072.46517143</v>
      </c>
      <c r="G215" s="10" t="n">
        <v>248394.579868487</v>
      </c>
      <c r="H215" s="10" t="n">
        <v>1579403.52032911</v>
      </c>
      <c r="I215" s="10" t="n">
        <v>400973.603382551</v>
      </c>
      <c r="J215" s="10" t="n">
        <v>1420237.99275027</v>
      </c>
      <c r="K215" s="11" t="n">
        <v>1.25242883652559</v>
      </c>
      <c r="L215" s="11" t="n">
        <v>0.324728631278078</v>
      </c>
      <c r="M215" s="11" t="n">
        <v>0.463282929561503</v>
      </c>
      <c r="N215" s="11" t="n">
        <v>0.115244006039022</v>
      </c>
      <c r="O215" s="12" t="n">
        <v>0.135339136107805</v>
      </c>
      <c r="P215" s="12" t="n">
        <v>0.232783314105425</v>
      </c>
      <c r="Q215" s="4" t="n">
        <f aca="false">RANK(N215,$N$7:$N$307,0)</f>
        <v>209</v>
      </c>
      <c r="R215" s="4" t="n">
        <f aca="false">RANK(O215,$O$7:$O$307,1)</f>
        <v>175</v>
      </c>
      <c r="S215" s="4" t="n">
        <f aca="false">RANK(J215,$J$7:$J$307,0)</f>
        <v>155</v>
      </c>
      <c r="T215" s="4" t="str">
        <f aca="false">IF(O215&lt;0.05,"YES","no")</f>
        <v>no</v>
      </c>
      <c r="U215" s="4" t="str">
        <f aca="false">IF(P215&lt;0.05,"YES","no")</f>
        <v>no</v>
      </c>
      <c r="V215" s="4" t="str">
        <f aca="false">IF(N215&gt;1,"YES","no")</f>
        <v>no</v>
      </c>
    </row>
    <row r="216" customFormat="false" ht="15" hidden="false" customHeight="false" outlineLevel="0" collapsed="false">
      <c r="A216" s="4" t="s">
        <v>394</v>
      </c>
      <c r="B216" s="4"/>
      <c r="C216" s="4" t="s">
        <v>72</v>
      </c>
      <c r="D216" s="8" t="n">
        <v>219.02645</v>
      </c>
      <c r="E216" s="9" t="n">
        <v>10.734</v>
      </c>
      <c r="F216" s="10" t="n">
        <v>1710821.81713793</v>
      </c>
      <c r="G216" s="10" t="n">
        <v>587109.256127689</v>
      </c>
      <c r="H216" s="10" t="n">
        <v>1514711.60602403</v>
      </c>
      <c r="I216" s="10" t="n">
        <v>1350571.46625722</v>
      </c>
      <c r="J216" s="10" t="n">
        <v>1612766.71158098</v>
      </c>
      <c r="K216" s="11" t="n">
        <v>0.885370756235752</v>
      </c>
      <c r="L216" s="11" t="n">
        <v>-0.17564637282996</v>
      </c>
      <c r="M216" s="11" t="n">
        <v>0.102606240832451</v>
      </c>
      <c r="N216" s="11" t="n">
        <v>0.114919173829027</v>
      </c>
      <c r="O216" s="12" t="n">
        <v>0.754053860911414</v>
      </c>
      <c r="P216" s="12" t="n">
        <v>0.837528458060279</v>
      </c>
      <c r="Q216" s="4" t="n">
        <f aca="false">RANK(N216,$N$7:$N$307,0)</f>
        <v>210</v>
      </c>
      <c r="R216" s="4" t="n">
        <f aca="false">RANK(O216,$O$7:$O$307,1)</f>
        <v>271</v>
      </c>
      <c r="S216" s="4" t="n">
        <f aca="false">RANK(J216,$J$7:$J$307,0)</f>
        <v>147</v>
      </c>
      <c r="T216" s="4" t="str">
        <f aca="false">IF(O216&lt;0.05,"YES","no")</f>
        <v>no</v>
      </c>
      <c r="U216" s="4" t="str">
        <f aca="false">IF(P216&lt;0.05,"YES","no")</f>
        <v>no</v>
      </c>
      <c r="V216" s="4" t="str">
        <f aca="false">IF(N216&gt;1,"YES","no")</f>
        <v>no</v>
      </c>
    </row>
    <row r="217" customFormat="false" ht="15" hidden="false" customHeight="false" outlineLevel="0" collapsed="false">
      <c r="A217" s="4" t="s">
        <v>285</v>
      </c>
      <c r="B217" s="4"/>
      <c r="C217" s="4" t="s">
        <v>72</v>
      </c>
      <c r="D217" s="8" t="n">
        <v>306.06015</v>
      </c>
      <c r="E217" s="9" t="n">
        <v>9.197</v>
      </c>
      <c r="F217" s="10" t="n">
        <v>193320.159031969</v>
      </c>
      <c r="G217" s="10" t="n">
        <v>194188.527286296</v>
      </c>
      <c r="H217" s="10" t="n">
        <v>123505.770176665</v>
      </c>
      <c r="I217" s="10" t="n">
        <v>52496.4771869105</v>
      </c>
      <c r="J217" s="10" t="n">
        <v>158412.964604317</v>
      </c>
      <c r="K217" s="11" t="n">
        <v>0.638866483428877</v>
      </c>
      <c r="L217" s="11" t="n">
        <v>-0.646413640744555</v>
      </c>
      <c r="M217" s="11" t="n">
        <v>0.259614099557343</v>
      </c>
      <c r="N217" s="11" t="n">
        <v>0.114765819425549</v>
      </c>
      <c r="O217" s="12" t="n">
        <v>0.429359476274692</v>
      </c>
      <c r="P217" s="12" t="n">
        <v>0.543013455288581</v>
      </c>
      <c r="Q217" s="4" t="n">
        <f aca="false">RANK(N217,$N$7:$N$307,0)</f>
        <v>211</v>
      </c>
      <c r="R217" s="4" t="n">
        <f aca="false">RANK(O217,$O$7:$O$307,1)</f>
        <v>238</v>
      </c>
      <c r="S217" s="4" t="n">
        <f aca="false">RANK(J217,$J$7:$J$307,0)</f>
        <v>265</v>
      </c>
      <c r="T217" s="4" t="str">
        <f aca="false">IF(O217&lt;0.05,"YES","no")</f>
        <v>no</v>
      </c>
      <c r="U217" s="4" t="str">
        <f aca="false">IF(P217&lt;0.05,"YES","no")</f>
        <v>no</v>
      </c>
      <c r="V217" s="4" t="str">
        <f aca="false">IF(N217&gt;1,"YES","no")</f>
        <v>no</v>
      </c>
    </row>
    <row r="218" customFormat="false" ht="15" hidden="false" customHeight="false" outlineLevel="0" collapsed="false">
      <c r="A218" s="4" t="s">
        <v>286</v>
      </c>
      <c r="B218" s="4"/>
      <c r="C218" s="4" t="s">
        <v>72</v>
      </c>
      <c r="D218" s="8" t="n">
        <v>128.03519</v>
      </c>
      <c r="E218" s="9" t="n">
        <v>8.222</v>
      </c>
      <c r="F218" s="10" t="n">
        <v>747596.07165521</v>
      </c>
      <c r="G218" s="10" t="n">
        <v>241741.046438452</v>
      </c>
      <c r="H218" s="10" t="n">
        <v>975271.938050246</v>
      </c>
      <c r="I218" s="10" t="n">
        <v>84038.8608594191</v>
      </c>
      <c r="J218" s="10" t="n">
        <v>861434.004852728</v>
      </c>
      <c r="K218" s="11" t="n">
        <v>1.3045439576628</v>
      </c>
      <c r="L218" s="11" t="n">
        <v>0.383545557749586</v>
      </c>
      <c r="M218" s="11" t="n">
        <v>0.567410303690046</v>
      </c>
      <c r="N218" s="11" t="n">
        <v>0.114662593775193</v>
      </c>
      <c r="O218" s="12" t="n">
        <v>0.0707634854019736</v>
      </c>
      <c r="P218" s="12" t="n">
        <v>0.159938752931033</v>
      </c>
      <c r="Q218" s="4" t="n">
        <f aca="false">RANK(N218,$N$7:$N$307,0)</f>
        <v>212</v>
      </c>
      <c r="R218" s="4" t="n">
        <f aca="false">RANK(O218,$O$7:$O$307,1)</f>
        <v>133</v>
      </c>
      <c r="S218" s="4" t="n">
        <f aca="false">RANK(J218,$J$7:$J$307,0)</f>
        <v>185</v>
      </c>
      <c r="T218" s="4" t="str">
        <f aca="false">IF(O218&lt;0.05,"YES","no")</f>
        <v>no</v>
      </c>
      <c r="U218" s="4" t="str">
        <f aca="false">IF(P218&lt;0.05,"YES","no")</f>
        <v>no</v>
      </c>
      <c r="V218" s="4" t="str">
        <f aca="false">IF(N218&gt;1,"YES","no")</f>
        <v>no</v>
      </c>
    </row>
    <row r="219" customFormat="false" ht="15" hidden="false" customHeight="false" outlineLevel="0" collapsed="false">
      <c r="A219" s="4" t="s">
        <v>322</v>
      </c>
      <c r="B219" s="4"/>
      <c r="C219" s="4" t="s">
        <v>72</v>
      </c>
      <c r="D219" s="8" t="n">
        <v>204.06655</v>
      </c>
      <c r="E219" s="9" t="n">
        <v>5.008</v>
      </c>
      <c r="F219" s="10" t="n">
        <v>68717.1433736012</v>
      </c>
      <c r="G219" s="10" t="n">
        <v>111542.977391897</v>
      </c>
      <c r="H219" s="10" t="n">
        <v>255122.703125261</v>
      </c>
      <c r="I219" s="10" t="n">
        <v>287496.580204425</v>
      </c>
      <c r="J219" s="10" t="n">
        <v>161919.923249431</v>
      </c>
      <c r="K219" s="11" t="n">
        <v>3.71265001134011</v>
      </c>
      <c r="L219" s="11" t="n">
        <v>1.89244931985121</v>
      </c>
      <c r="M219" s="11" t="n">
        <v>0.424042818128701</v>
      </c>
      <c r="N219" s="11" t="n">
        <v>0.110022240117609</v>
      </c>
      <c r="O219" s="12" t="n">
        <v>0.185661428691685</v>
      </c>
      <c r="P219" s="12" t="n">
        <v>0.297255798064879</v>
      </c>
      <c r="Q219" s="4" t="n">
        <f aca="false">RANK(N219,$N$7:$N$307,0)</f>
        <v>213</v>
      </c>
      <c r="R219" s="4" t="n">
        <f aca="false">RANK(O219,$O$7:$O$307,1)</f>
        <v>188</v>
      </c>
      <c r="S219" s="4" t="n">
        <f aca="false">RANK(J219,$J$7:$J$307,0)</f>
        <v>262</v>
      </c>
      <c r="T219" s="4" t="str">
        <f aca="false">IF(O219&lt;0.05,"YES","no")</f>
        <v>no</v>
      </c>
      <c r="U219" s="4" t="str">
        <f aca="false">IF(P219&lt;0.05,"YES","no")</f>
        <v>no</v>
      </c>
      <c r="V219" s="4" t="str">
        <f aca="false">IF(N219&gt;1,"YES","no")</f>
        <v>no</v>
      </c>
    </row>
    <row r="220" customFormat="false" ht="15" hidden="false" customHeight="false" outlineLevel="0" collapsed="false">
      <c r="A220" s="4" t="s">
        <v>310</v>
      </c>
      <c r="B220" s="4"/>
      <c r="C220" s="4" t="s">
        <v>61</v>
      </c>
      <c r="D220" s="8" t="n">
        <v>229.04836</v>
      </c>
      <c r="E220" s="9" t="n">
        <v>8.959</v>
      </c>
      <c r="F220" s="10" t="n">
        <v>302288.616081341</v>
      </c>
      <c r="G220" s="10" t="n">
        <v>188649.665800468</v>
      </c>
      <c r="H220" s="10" t="n">
        <v>514654.664098449</v>
      </c>
      <c r="I220" s="10" t="n">
        <v>129194.908558419</v>
      </c>
      <c r="J220" s="10" t="n">
        <v>408471.640089895</v>
      </c>
      <c r="K220" s="11" t="n">
        <v>1.70252744139053</v>
      </c>
      <c r="L220" s="11" t="n">
        <v>0.767678051828523</v>
      </c>
      <c r="M220" s="11" t="n">
        <v>0.584003758222451</v>
      </c>
      <c r="N220" s="11" t="n">
        <v>0.109261159665255</v>
      </c>
      <c r="O220" s="12" t="n">
        <v>0.0494490561466135</v>
      </c>
      <c r="P220" s="12" t="n">
        <v>0.12613699915365</v>
      </c>
      <c r="Q220" s="4" t="n">
        <f aca="false">RANK(N220,$N$7:$N$307,0)</f>
        <v>214</v>
      </c>
      <c r="R220" s="4" t="n">
        <f aca="false">RANK(O220,$O$7:$O$307,1)</f>
        <v>118</v>
      </c>
      <c r="S220" s="4" t="n">
        <f aca="false">RANK(J220,$J$7:$J$307,0)</f>
        <v>217</v>
      </c>
      <c r="T220" s="4" t="str">
        <f aca="false">IF(O220&lt;0.05,"YES","no")</f>
        <v>YES</v>
      </c>
      <c r="U220" s="4" t="str">
        <f aca="false">IF(P220&lt;0.05,"YES","no")</f>
        <v>no</v>
      </c>
      <c r="V220" s="4" t="str">
        <f aca="false">IF(N220&gt;1,"YES","no")</f>
        <v>no</v>
      </c>
    </row>
    <row r="221" customFormat="false" ht="15" hidden="false" customHeight="false" outlineLevel="0" collapsed="false">
      <c r="A221" s="4" t="s">
        <v>374</v>
      </c>
      <c r="B221" s="4"/>
      <c r="C221" s="4" t="s">
        <v>72</v>
      </c>
      <c r="D221" s="8" t="n">
        <v>189.1234</v>
      </c>
      <c r="E221" s="9" t="n">
        <v>7.441</v>
      </c>
      <c r="F221" s="10" t="n">
        <v>151696.952233164</v>
      </c>
      <c r="G221" s="10" t="n">
        <v>84477.7688120539</v>
      </c>
      <c r="H221" s="10" t="n">
        <v>335882.927073643</v>
      </c>
      <c r="I221" s="10" t="n">
        <v>119042.382791087</v>
      </c>
      <c r="J221" s="10" t="n">
        <v>243789.939653403</v>
      </c>
      <c r="K221" s="11" t="n">
        <v>2.21417056921077</v>
      </c>
      <c r="L221" s="11" t="n">
        <v>1.14676636479149</v>
      </c>
      <c r="M221" s="11" t="n">
        <v>0.698973541943769</v>
      </c>
      <c r="N221" s="11" t="n">
        <v>0.10858916223325</v>
      </c>
      <c r="O221" s="12" t="n">
        <v>0.0128846843454984</v>
      </c>
      <c r="P221" s="12" t="n">
        <v>0.0612975978804271</v>
      </c>
      <c r="Q221" s="4" t="n">
        <f aca="false">RANK(N221,$N$7:$N$307,0)</f>
        <v>215</v>
      </c>
      <c r="R221" s="4" t="n">
        <f aca="false">RANK(O221,$O$7:$O$307,1)</f>
        <v>63</v>
      </c>
      <c r="S221" s="4" t="n">
        <f aca="false">RANK(J221,$J$7:$J$307,0)</f>
        <v>246</v>
      </c>
      <c r="T221" s="4" t="str">
        <f aca="false">IF(O221&lt;0.05,"YES","no")</f>
        <v>YES</v>
      </c>
      <c r="U221" s="4" t="str">
        <f aca="false">IF(P221&lt;0.05,"YES","no")</f>
        <v>no</v>
      </c>
      <c r="V221" s="4" t="str">
        <f aca="false">IF(N221&gt;1,"YES","no")</f>
        <v>no</v>
      </c>
    </row>
    <row r="222" customFormat="false" ht="15" hidden="false" customHeight="false" outlineLevel="0" collapsed="false">
      <c r="A222" s="4" t="s">
        <v>292</v>
      </c>
      <c r="B222" s="4"/>
      <c r="C222" s="4" t="s">
        <v>72</v>
      </c>
      <c r="D222" s="8" t="n">
        <v>233.14949</v>
      </c>
      <c r="E222" s="9" t="n">
        <v>6.823</v>
      </c>
      <c r="F222" s="10" t="n">
        <v>496539.416796162</v>
      </c>
      <c r="G222" s="10" t="n">
        <v>178779.992260785</v>
      </c>
      <c r="H222" s="10" t="n">
        <v>722128.97958265</v>
      </c>
      <c r="I222" s="10" t="n">
        <v>269439.236231505</v>
      </c>
      <c r="J222" s="10" t="n">
        <v>609334.198189406</v>
      </c>
      <c r="K222" s="11" t="n">
        <v>1.45432357463596</v>
      </c>
      <c r="L222" s="11" t="n">
        <v>0.540348292357315</v>
      </c>
      <c r="M222" s="11" t="n">
        <v>0.475418755563065</v>
      </c>
      <c r="N222" s="11" t="n">
        <v>0.108326314397626</v>
      </c>
      <c r="O222" s="12" t="n">
        <v>0.122855694964551</v>
      </c>
      <c r="P222" s="12" t="n">
        <v>0.220116453478154</v>
      </c>
      <c r="Q222" s="4" t="n">
        <f aca="false">RANK(N222,$N$7:$N$307,0)</f>
        <v>216</v>
      </c>
      <c r="R222" s="4" t="n">
        <f aca="false">RANK(O222,$O$7:$O$307,1)</f>
        <v>168</v>
      </c>
      <c r="S222" s="4" t="n">
        <f aca="false">RANK(J222,$J$7:$J$307,0)</f>
        <v>198</v>
      </c>
      <c r="T222" s="4" t="str">
        <f aca="false">IF(O222&lt;0.05,"YES","no")</f>
        <v>no</v>
      </c>
      <c r="U222" s="4" t="str">
        <f aca="false">IF(P222&lt;0.05,"YES","no")</f>
        <v>no</v>
      </c>
      <c r="V222" s="4" t="str">
        <f aca="false">IF(N222&gt;1,"YES","no")</f>
        <v>no</v>
      </c>
    </row>
    <row r="223" customFormat="false" ht="15" hidden="false" customHeight="false" outlineLevel="0" collapsed="false">
      <c r="A223" s="4" t="s">
        <v>321</v>
      </c>
      <c r="B223" s="4"/>
      <c r="C223" s="4" t="s">
        <v>72</v>
      </c>
      <c r="D223" s="8" t="n">
        <v>455.0973</v>
      </c>
      <c r="E223" s="9" t="n">
        <v>8.139</v>
      </c>
      <c r="F223" s="10" t="n">
        <v>173843.175426947</v>
      </c>
      <c r="G223" s="10" t="n">
        <v>65479.8111192454</v>
      </c>
      <c r="H223" s="10" t="n">
        <v>330459.140600041</v>
      </c>
      <c r="I223" s="10" t="n">
        <v>49634.7686606076</v>
      </c>
      <c r="J223" s="10" t="n">
        <v>252151.158013494</v>
      </c>
      <c r="K223" s="11" t="n">
        <v>1.90090372997649</v>
      </c>
      <c r="L223" s="11" t="n">
        <v>0.926685469491781</v>
      </c>
      <c r="M223" s="11" t="n">
        <v>0.827965613134798</v>
      </c>
      <c r="N223" s="11" t="n">
        <v>0.108206513888282</v>
      </c>
      <c r="O223" s="12" t="n">
        <v>0.00106566121855189</v>
      </c>
      <c r="P223" s="12" t="n">
        <v>0.0214802342133371</v>
      </c>
      <c r="Q223" s="4" t="n">
        <f aca="false">RANK(N223,$N$7:$N$307,0)</f>
        <v>217</v>
      </c>
      <c r="R223" s="4" t="n">
        <f aca="false">RANK(O223,$O$7:$O$307,1)</f>
        <v>14</v>
      </c>
      <c r="S223" s="4" t="n">
        <f aca="false">RANK(J223,$J$7:$J$307,0)</f>
        <v>243</v>
      </c>
      <c r="T223" s="4" t="str">
        <f aca="false">IF(O223&lt;0.05,"YES","no")</f>
        <v>YES</v>
      </c>
      <c r="U223" s="4" t="str">
        <f aca="false">IF(P223&lt;0.05,"YES","no")</f>
        <v>YES</v>
      </c>
      <c r="V223" s="4" t="str">
        <f aca="false">IF(N223&gt;1,"YES","no")</f>
        <v>no</v>
      </c>
    </row>
    <row r="224" customFormat="false" ht="15" hidden="false" customHeight="false" outlineLevel="0" collapsed="false">
      <c r="A224" s="4" t="s">
        <v>342</v>
      </c>
      <c r="B224" s="4"/>
      <c r="C224" s="4" t="s">
        <v>61</v>
      </c>
      <c r="D224" s="8" t="n">
        <v>184.9855</v>
      </c>
      <c r="E224" s="9" t="n">
        <v>10.148</v>
      </c>
      <c r="F224" s="10" t="n">
        <v>235810.62036711</v>
      </c>
      <c r="G224" s="10" t="n">
        <v>232455.942643831</v>
      </c>
      <c r="H224" s="10" t="n">
        <v>123514.392403235</v>
      </c>
      <c r="I224" s="10" t="n">
        <v>29866.6639593589</v>
      </c>
      <c r="J224" s="10" t="n">
        <v>179662.506385173</v>
      </c>
      <c r="K224" s="11" t="n">
        <v>0.523786385070137</v>
      </c>
      <c r="L224" s="11" t="n">
        <v>-0.932949535097815</v>
      </c>
      <c r="M224" s="11" t="n">
        <v>0.347953703552929</v>
      </c>
      <c r="N224" s="11" t="n">
        <v>0.10800486223796</v>
      </c>
      <c r="O224" s="12" t="n">
        <v>0.291792367468131</v>
      </c>
      <c r="P224" s="12" t="n">
        <v>0.410418236485549</v>
      </c>
      <c r="Q224" s="4" t="n">
        <f aca="false">RANK(N224,$N$7:$N$307,0)</f>
        <v>218</v>
      </c>
      <c r="R224" s="4" t="n">
        <f aca="false">RANK(O224,$O$7:$O$307,1)</f>
        <v>214</v>
      </c>
      <c r="S224" s="4" t="n">
        <f aca="false">RANK(J224,$J$7:$J$307,0)</f>
        <v>259</v>
      </c>
      <c r="T224" s="4" t="str">
        <f aca="false">IF(O224&lt;0.05,"YES","no")</f>
        <v>no</v>
      </c>
      <c r="U224" s="4" t="str">
        <f aca="false">IF(P224&lt;0.05,"YES","no")</f>
        <v>no</v>
      </c>
      <c r="V224" s="4" t="str">
        <f aca="false">IF(N224&gt;1,"YES","no")</f>
        <v>no</v>
      </c>
    </row>
    <row r="225" customFormat="false" ht="15" hidden="false" customHeight="false" outlineLevel="0" collapsed="false">
      <c r="A225" s="4" t="s">
        <v>371</v>
      </c>
      <c r="B225" s="4"/>
      <c r="C225" s="4" t="s">
        <v>72</v>
      </c>
      <c r="D225" s="8" t="n">
        <v>162.02303</v>
      </c>
      <c r="E225" s="9" t="n">
        <v>6.824</v>
      </c>
      <c r="F225" s="10" t="n">
        <v>76988.3331182755</v>
      </c>
      <c r="G225" s="10" t="n">
        <v>61194.7462446202</v>
      </c>
      <c r="H225" s="10" t="n">
        <v>229316.062430577</v>
      </c>
      <c r="I225" s="10" t="n">
        <v>67521.9251561999</v>
      </c>
      <c r="J225" s="10" t="n">
        <v>153152.197774426</v>
      </c>
      <c r="K225" s="11" t="n">
        <v>2.97858198953709</v>
      </c>
      <c r="L225" s="11" t="n">
        <v>1.57462567177933</v>
      </c>
      <c r="M225" s="11" t="n">
        <v>0.791446384984193</v>
      </c>
      <c r="N225" s="11" t="n">
        <v>0.107784610000314</v>
      </c>
      <c r="O225" s="12" t="n">
        <v>0.00220686322314016</v>
      </c>
      <c r="P225" s="12" t="n">
        <v>0.0311799990987683</v>
      </c>
      <c r="Q225" s="4" t="n">
        <f aca="false">RANK(N225,$N$7:$N$307,0)</f>
        <v>219</v>
      </c>
      <c r="R225" s="4" t="n">
        <f aca="false">RANK(O225,$O$7:$O$307,1)</f>
        <v>21</v>
      </c>
      <c r="S225" s="4" t="n">
        <f aca="false">RANK(J225,$J$7:$J$307,0)</f>
        <v>267</v>
      </c>
      <c r="T225" s="4" t="str">
        <f aca="false">IF(O225&lt;0.05,"YES","no")</f>
        <v>YES</v>
      </c>
      <c r="U225" s="4" t="str">
        <f aca="false">IF(P225&lt;0.05,"YES","no")</f>
        <v>YES</v>
      </c>
      <c r="V225" s="4" t="str">
        <f aca="false">IF(N225&gt;1,"YES","no")</f>
        <v>no</v>
      </c>
    </row>
    <row r="226" customFormat="false" ht="15" hidden="false" customHeight="false" outlineLevel="0" collapsed="false">
      <c r="A226" s="4" t="s">
        <v>353</v>
      </c>
      <c r="B226" s="4" t="s">
        <v>354</v>
      </c>
      <c r="C226" s="4" t="s">
        <v>72</v>
      </c>
      <c r="D226" s="8" t="n">
        <v>229.01158</v>
      </c>
      <c r="E226" s="9" t="n">
        <v>10.048</v>
      </c>
      <c r="F226" s="10" t="n">
        <v>244138.594055971</v>
      </c>
      <c r="G226" s="10" t="n">
        <v>240090.186206794</v>
      </c>
      <c r="H226" s="10" t="n">
        <v>429392.471278031</v>
      </c>
      <c r="I226" s="10" t="n">
        <v>159187.579621779</v>
      </c>
      <c r="J226" s="10" t="n">
        <v>336765.532667001</v>
      </c>
      <c r="K226" s="11" t="n">
        <v>1.7588061934181</v>
      </c>
      <c r="L226" s="11" t="n">
        <v>0.814596517943987</v>
      </c>
      <c r="M226" s="11" t="n">
        <v>0.445876577246142</v>
      </c>
      <c r="N226" s="11" t="n">
        <v>0.103235385539236</v>
      </c>
      <c r="O226" s="12" t="n">
        <v>0.15087851172497</v>
      </c>
      <c r="P226" s="12" t="n">
        <v>0.253711910777742</v>
      </c>
      <c r="Q226" s="4" t="n">
        <f aca="false">RANK(N226,$N$7:$N$307,0)</f>
        <v>220</v>
      </c>
      <c r="R226" s="4" t="n">
        <f aca="false">RANK(O226,$O$7:$O$307,1)</f>
        <v>179</v>
      </c>
      <c r="S226" s="4" t="n">
        <f aca="false">RANK(J226,$J$7:$J$307,0)</f>
        <v>228</v>
      </c>
      <c r="T226" s="4" t="str">
        <f aca="false">IF(O226&lt;0.05,"YES","no")</f>
        <v>no</v>
      </c>
      <c r="U226" s="4" t="str">
        <f aca="false">IF(P226&lt;0.05,"YES","no")</f>
        <v>no</v>
      </c>
      <c r="V226" s="4" t="str">
        <f aca="false">IF(N226&gt;1,"YES","no")</f>
        <v>no</v>
      </c>
    </row>
    <row r="227" customFormat="false" ht="15" hidden="false" customHeight="false" outlineLevel="0" collapsed="false">
      <c r="A227" s="4" t="s">
        <v>355</v>
      </c>
      <c r="B227" s="4"/>
      <c r="C227" s="4" t="s">
        <v>61</v>
      </c>
      <c r="D227" s="8" t="n">
        <v>377.1459</v>
      </c>
      <c r="E227" s="9" t="n">
        <v>7.534</v>
      </c>
      <c r="F227" s="10" t="n">
        <v>151877.263630191</v>
      </c>
      <c r="G227" s="10" t="n">
        <v>99152.0105126372</v>
      </c>
      <c r="H227" s="10" t="n">
        <v>322419.912153026</v>
      </c>
      <c r="I227" s="10" t="n">
        <v>98595.9065897543</v>
      </c>
      <c r="J227" s="10" t="n">
        <v>237148.587891609</v>
      </c>
      <c r="K227" s="11" t="n">
        <v>2.12289782187604</v>
      </c>
      <c r="L227" s="11" t="n">
        <v>1.08603493392806</v>
      </c>
      <c r="M227" s="11" t="n">
        <v>0.686735146401109</v>
      </c>
      <c r="N227" s="11" t="n">
        <v>0.102949015619191</v>
      </c>
      <c r="O227" s="12" t="n">
        <v>0.0136319058376922</v>
      </c>
      <c r="P227" s="12" t="n">
        <v>0.0621514652385822</v>
      </c>
      <c r="Q227" s="4" t="n">
        <f aca="false">RANK(N227,$N$7:$N$307,0)</f>
        <v>221</v>
      </c>
      <c r="R227" s="4" t="n">
        <f aca="false">RANK(O227,$O$7:$O$307,1)</f>
        <v>65</v>
      </c>
      <c r="S227" s="4" t="n">
        <f aca="false">RANK(J227,$J$7:$J$307,0)</f>
        <v>249</v>
      </c>
      <c r="T227" s="4" t="str">
        <f aca="false">IF(O227&lt;0.05,"YES","no")</f>
        <v>YES</v>
      </c>
      <c r="U227" s="4" t="str">
        <f aca="false">IF(P227&lt;0.05,"YES","no")</f>
        <v>no</v>
      </c>
      <c r="V227" s="4" t="str">
        <f aca="false">IF(N227&gt;1,"YES","no")</f>
        <v>no</v>
      </c>
    </row>
    <row r="228" customFormat="false" ht="15" hidden="false" customHeight="false" outlineLevel="0" collapsed="false">
      <c r="A228" s="4" t="s">
        <v>275</v>
      </c>
      <c r="B228" s="4"/>
      <c r="C228" s="4" t="s">
        <v>72</v>
      </c>
      <c r="D228" s="8" t="n">
        <v>324.05918</v>
      </c>
      <c r="E228" s="9" t="n">
        <v>10.414</v>
      </c>
      <c r="F228" s="10" t="n">
        <v>1480704.6847961</v>
      </c>
      <c r="G228" s="10" t="n">
        <v>514807.783321488</v>
      </c>
      <c r="H228" s="10" t="n">
        <v>1742946.89910888</v>
      </c>
      <c r="I228" s="10" t="n">
        <v>835854.795369413</v>
      </c>
      <c r="J228" s="10" t="n">
        <v>1611825.79195249</v>
      </c>
      <c r="K228" s="11" t="n">
        <v>1.17710635821274</v>
      </c>
      <c r="L228" s="11" t="n">
        <v>0.235244681917283</v>
      </c>
      <c r="M228" s="11" t="n">
        <v>0.202631770782707</v>
      </c>
      <c r="N228" s="11" t="n">
        <v>0.101836828422994</v>
      </c>
      <c r="O228" s="12" t="n">
        <v>0.530561526012573</v>
      </c>
      <c r="P228" s="12" t="n">
        <v>0.631221420275827</v>
      </c>
      <c r="Q228" s="4" t="n">
        <f aca="false">RANK(N228,$N$7:$N$307,0)</f>
        <v>222</v>
      </c>
      <c r="R228" s="4" t="n">
        <f aca="false">RANK(O228,$O$7:$O$307,1)</f>
        <v>253</v>
      </c>
      <c r="S228" s="4" t="n">
        <f aca="false">RANK(J228,$J$7:$J$307,0)</f>
        <v>148</v>
      </c>
      <c r="T228" s="4" t="str">
        <f aca="false">IF(O228&lt;0.05,"YES","no")</f>
        <v>no</v>
      </c>
      <c r="U228" s="4" t="str">
        <f aca="false">IF(P228&lt;0.05,"YES","no")</f>
        <v>no</v>
      </c>
      <c r="V228" s="4" t="str">
        <f aca="false">IF(N228&gt;1,"YES","no")</f>
        <v>no</v>
      </c>
    </row>
    <row r="229" customFormat="false" ht="15" hidden="false" customHeight="false" outlineLevel="0" collapsed="false">
      <c r="A229" s="4" t="s">
        <v>312</v>
      </c>
      <c r="B229" s="4"/>
      <c r="C229" s="4" t="s">
        <v>61</v>
      </c>
      <c r="D229" s="8" t="n">
        <v>173.05678</v>
      </c>
      <c r="E229" s="9" t="n">
        <v>8.268</v>
      </c>
      <c r="F229" s="10" t="n">
        <v>97318.7230541962</v>
      </c>
      <c r="G229" s="10" t="n">
        <v>44436.2429374978</v>
      </c>
      <c r="H229" s="10" t="n">
        <v>216372.437456553</v>
      </c>
      <c r="I229" s="10" t="n">
        <v>34523.4151181932</v>
      </c>
      <c r="J229" s="10" t="n">
        <v>156845.580255374</v>
      </c>
      <c r="K229" s="11" t="n">
        <v>2.22333822995248</v>
      </c>
      <c r="L229" s="11" t="n">
        <v>1.1527274380442</v>
      </c>
      <c r="M229" s="11" t="n">
        <v>0.853630230337623</v>
      </c>
      <c r="N229" s="11" t="n">
        <v>0.101204019495842</v>
      </c>
      <c r="O229" s="12" t="n">
        <v>0.000498187345758681</v>
      </c>
      <c r="P229" s="12" t="n">
        <v>0.0201401215916247</v>
      </c>
      <c r="Q229" s="4" t="n">
        <f aca="false">RANK(N229,$N$7:$N$307,0)</f>
        <v>223</v>
      </c>
      <c r="R229" s="4" t="n">
        <f aca="false">RANK(O229,$O$7:$O$307,1)</f>
        <v>7</v>
      </c>
      <c r="S229" s="4" t="n">
        <f aca="false">RANK(J229,$J$7:$J$307,0)</f>
        <v>266</v>
      </c>
      <c r="T229" s="4" t="str">
        <f aca="false">IF(O229&lt;0.05,"YES","no")</f>
        <v>YES</v>
      </c>
      <c r="U229" s="4" t="str">
        <f aca="false">IF(P229&lt;0.05,"YES","no")</f>
        <v>YES</v>
      </c>
      <c r="V229" s="4" t="str">
        <f aca="false">IF(N229&gt;1,"YES","no")</f>
        <v>no</v>
      </c>
    </row>
    <row r="230" customFormat="false" ht="15" hidden="false" customHeight="false" outlineLevel="0" collapsed="false">
      <c r="A230" s="4" t="s">
        <v>384</v>
      </c>
      <c r="B230" s="4"/>
      <c r="C230" s="4" t="s">
        <v>72</v>
      </c>
      <c r="D230" s="8" t="n">
        <v>253.11819</v>
      </c>
      <c r="E230" s="9" t="n">
        <v>6.829</v>
      </c>
      <c r="F230" s="10" t="n">
        <v>204207.90582264</v>
      </c>
      <c r="G230" s="10" t="n">
        <v>147546.956276613</v>
      </c>
      <c r="H230" s="10" t="n">
        <v>395418.439396337</v>
      </c>
      <c r="I230" s="10" t="n">
        <v>205467.538735446</v>
      </c>
      <c r="J230" s="10" t="n">
        <v>299813.172609488</v>
      </c>
      <c r="K230" s="11" t="n">
        <v>1.936352257291</v>
      </c>
      <c r="L230" s="11" t="n">
        <v>0.953341428655224</v>
      </c>
      <c r="M230" s="11" t="n">
        <v>0.505278084068708</v>
      </c>
      <c r="N230" s="11" t="n">
        <v>0.0998012714323206</v>
      </c>
      <c r="O230" s="12" t="n">
        <v>0.0968395703877517</v>
      </c>
      <c r="P230" s="12" t="n">
        <v>0.191767833465219</v>
      </c>
      <c r="Q230" s="4" t="n">
        <f aca="false">RANK(N230,$N$7:$N$307,0)</f>
        <v>224</v>
      </c>
      <c r="R230" s="4" t="n">
        <f aca="false">RANK(O230,$O$7:$O$307,1)</f>
        <v>152</v>
      </c>
      <c r="S230" s="4" t="n">
        <f aca="false">RANK(J230,$J$7:$J$307,0)</f>
        <v>235</v>
      </c>
      <c r="T230" s="4" t="str">
        <f aca="false">IF(O230&lt;0.05,"YES","no")</f>
        <v>no</v>
      </c>
      <c r="U230" s="4" t="str">
        <f aca="false">IF(P230&lt;0.05,"YES","no")</f>
        <v>no</v>
      </c>
      <c r="V230" s="4" t="str">
        <f aca="false">IF(N230&gt;1,"YES","no")</f>
        <v>no</v>
      </c>
    </row>
    <row r="231" customFormat="false" ht="15" hidden="false" customHeight="false" outlineLevel="0" collapsed="false">
      <c r="A231" s="4" t="s">
        <v>303</v>
      </c>
      <c r="B231" s="4"/>
      <c r="C231" s="4" t="s">
        <v>61</v>
      </c>
      <c r="D231" s="8" t="n">
        <v>484.97581</v>
      </c>
      <c r="E231" s="9" t="n">
        <v>10.423</v>
      </c>
      <c r="F231" s="10" t="n">
        <v>98538.5039334161</v>
      </c>
      <c r="G231" s="10" t="n">
        <v>145982.222028282</v>
      </c>
      <c r="H231" s="10" t="n">
        <v>45736.0536389166</v>
      </c>
      <c r="I231" s="10" t="n">
        <v>16688.8905725181</v>
      </c>
      <c r="J231" s="10" t="n">
        <v>72137.2787861663</v>
      </c>
      <c r="K231" s="11" t="n">
        <v>0.46414398243575</v>
      </c>
      <c r="L231" s="11" t="n">
        <v>-1.10735568064704</v>
      </c>
      <c r="M231" s="11" t="n">
        <v>0.268166439549071</v>
      </c>
      <c r="N231" s="11" t="n">
        <v>0.0987197818238002</v>
      </c>
      <c r="O231" s="12" t="n">
        <v>0.418037269927095</v>
      </c>
      <c r="P231" s="12" t="n">
        <v>0.530924971510783</v>
      </c>
      <c r="Q231" s="4" t="n">
        <f aca="false">RANK(N231,$N$7:$N$307,0)</f>
        <v>225</v>
      </c>
      <c r="R231" s="4" t="n">
        <f aca="false">RANK(O231,$O$7:$O$307,1)</f>
        <v>237</v>
      </c>
      <c r="S231" s="4" t="n">
        <f aca="false">RANK(J231,$J$7:$J$307,0)</f>
        <v>283</v>
      </c>
      <c r="T231" s="4" t="str">
        <f aca="false">IF(O231&lt;0.05,"YES","no")</f>
        <v>no</v>
      </c>
      <c r="U231" s="4" t="str">
        <f aca="false">IF(P231&lt;0.05,"YES","no")</f>
        <v>no</v>
      </c>
      <c r="V231" s="4" t="str">
        <f aca="false">IF(N231&gt;1,"YES","no")</f>
        <v>no</v>
      </c>
    </row>
    <row r="232" customFormat="false" ht="15" hidden="false" customHeight="false" outlineLevel="0" collapsed="false">
      <c r="A232" s="4" t="s">
        <v>314</v>
      </c>
      <c r="B232" s="4"/>
      <c r="C232" s="4" t="s">
        <v>72</v>
      </c>
      <c r="D232" s="8" t="n">
        <v>190.04747</v>
      </c>
      <c r="E232" s="9" t="n">
        <v>9.551</v>
      </c>
      <c r="F232" s="10" t="n">
        <v>102654.721736765</v>
      </c>
      <c r="G232" s="10" t="n">
        <v>148461.632009829</v>
      </c>
      <c r="H232" s="10" t="n">
        <v>51158.8897416482</v>
      </c>
      <c r="I232" s="10" t="n">
        <v>28253.0867109694</v>
      </c>
      <c r="J232" s="10" t="n">
        <v>76906.8057392066</v>
      </c>
      <c r="K232" s="11" t="n">
        <v>0.498358856525214</v>
      </c>
      <c r="L232" s="11" t="n">
        <v>-1.00474312752301</v>
      </c>
      <c r="M232" s="11" t="n">
        <v>0.255202145960368</v>
      </c>
      <c r="N232" s="11" t="n">
        <v>0.0982422992224432</v>
      </c>
      <c r="O232" s="12" t="n">
        <v>0.439505851660438</v>
      </c>
      <c r="P232" s="12" t="n">
        <v>0.55345223095936</v>
      </c>
      <c r="Q232" s="4" t="n">
        <f aca="false">RANK(N232,$N$7:$N$307,0)</f>
        <v>226</v>
      </c>
      <c r="R232" s="4" t="n">
        <f aca="false">RANK(O232,$O$7:$O$307,1)</f>
        <v>239</v>
      </c>
      <c r="S232" s="4" t="n">
        <f aca="false">RANK(J232,$J$7:$J$307,0)</f>
        <v>281</v>
      </c>
      <c r="T232" s="4" t="str">
        <f aca="false">IF(O232&lt;0.05,"YES","no")</f>
        <v>no</v>
      </c>
      <c r="U232" s="4" t="str">
        <f aca="false">IF(P232&lt;0.05,"YES","no")</f>
        <v>no</v>
      </c>
      <c r="V232" s="4" t="str">
        <f aca="false">IF(N232&gt;1,"YES","no")</f>
        <v>no</v>
      </c>
    </row>
    <row r="233" customFormat="false" ht="15" hidden="false" customHeight="false" outlineLevel="0" collapsed="false">
      <c r="A233" s="4" t="s">
        <v>298</v>
      </c>
      <c r="B233" s="4"/>
      <c r="C233" s="4" t="s">
        <v>61</v>
      </c>
      <c r="D233" s="8" t="n">
        <v>346.05529</v>
      </c>
      <c r="E233" s="9" t="n">
        <v>10.103</v>
      </c>
      <c r="F233" s="10" t="n">
        <v>776871.482001885</v>
      </c>
      <c r="G233" s="10" t="n">
        <v>281370.124469447</v>
      </c>
      <c r="H233" s="10" t="n">
        <v>649381.571393837</v>
      </c>
      <c r="I233" s="10" t="n">
        <v>292546.30389252</v>
      </c>
      <c r="J233" s="10" t="n">
        <v>713126.526697861</v>
      </c>
      <c r="K233" s="11" t="n">
        <v>0.835893177235024</v>
      </c>
      <c r="L233" s="11" t="n">
        <v>-0.258609509662857</v>
      </c>
      <c r="M233" s="11" t="n">
        <v>0.236400225221135</v>
      </c>
      <c r="N233" s="11" t="n">
        <v>0.0978222187532183</v>
      </c>
      <c r="O233" s="12" t="n">
        <v>0.459486630867509</v>
      </c>
      <c r="P233" s="12" t="n">
        <v>0.569158337000495</v>
      </c>
      <c r="Q233" s="4" t="n">
        <f aca="false">RANK(N233,$N$7:$N$307,0)</f>
        <v>227</v>
      </c>
      <c r="R233" s="4" t="n">
        <f aca="false">RANK(O233,$O$7:$O$307,1)</f>
        <v>243</v>
      </c>
      <c r="S233" s="4" t="n">
        <f aca="false">RANK(J233,$J$7:$J$307,0)</f>
        <v>190</v>
      </c>
      <c r="T233" s="4" t="str">
        <f aca="false">IF(O233&lt;0.05,"YES","no")</f>
        <v>no</v>
      </c>
      <c r="U233" s="4" t="str">
        <f aca="false">IF(P233&lt;0.05,"YES","no")</f>
        <v>no</v>
      </c>
      <c r="V233" s="4" t="str">
        <f aca="false">IF(N233&gt;1,"YES","no")</f>
        <v>no</v>
      </c>
    </row>
    <row r="234" customFormat="false" ht="15" hidden="false" customHeight="false" outlineLevel="0" collapsed="false">
      <c r="A234" s="4" t="s">
        <v>359</v>
      </c>
      <c r="B234" s="4"/>
      <c r="C234" s="4" t="s">
        <v>72</v>
      </c>
      <c r="D234" s="8" t="n">
        <v>588.07542</v>
      </c>
      <c r="E234" s="9" t="n">
        <v>9.154</v>
      </c>
      <c r="F234" s="10" t="n">
        <v>17023.1882211218</v>
      </c>
      <c r="G234" s="10" t="n">
        <v>9390.13695456316</v>
      </c>
      <c r="H234" s="10" t="n">
        <v>129711.159791779</v>
      </c>
      <c r="I234" s="10" t="n">
        <v>58226.397738274</v>
      </c>
      <c r="J234" s="10" t="n">
        <v>73367.1740064503</v>
      </c>
      <c r="K234" s="11" t="n">
        <v>7.61967488738905</v>
      </c>
      <c r="L234" s="11" t="n">
        <v>2.929729442816</v>
      </c>
      <c r="M234" s="11" t="n">
        <v>0.828586703678915</v>
      </c>
      <c r="N234" s="11" t="n">
        <v>0.0974362689780832</v>
      </c>
      <c r="O234" s="12" t="n">
        <v>0.00477445228435248</v>
      </c>
      <c r="P234" s="12" t="n">
        <v>0.0359425607722596</v>
      </c>
      <c r="Q234" s="4" t="n">
        <f aca="false">RANK(N234,$N$7:$N$307,0)</f>
        <v>228</v>
      </c>
      <c r="R234" s="4" t="n">
        <f aca="false">RANK(O234,$O$7:$O$307,1)</f>
        <v>39</v>
      </c>
      <c r="S234" s="4" t="n">
        <f aca="false">RANK(J234,$J$7:$J$307,0)</f>
        <v>282</v>
      </c>
      <c r="T234" s="4" t="str">
        <f aca="false">IF(O234&lt;0.05,"YES","no")</f>
        <v>YES</v>
      </c>
      <c r="U234" s="4" t="str">
        <f aca="false">IF(P234&lt;0.05,"YES","no")</f>
        <v>YES</v>
      </c>
      <c r="V234" s="4" t="str">
        <f aca="false">IF(N234&gt;1,"YES","no")</f>
        <v>no</v>
      </c>
    </row>
    <row r="235" customFormat="false" ht="15" hidden="false" customHeight="false" outlineLevel="0" collapsed="false">
      <c r="A235" s="4" t="s">
        <v>328</v>
      </c>
      <c r="B235" s="4"/>
      <c r="C235" s="4" t="s">
        <v>72</v>
      </c>
      <c r="D235" s="8" t="n">
        <v>193.03536</v>
      </c>
      <c r="E235" s="9" t="n">
        <v>10.155</v>
      </c>
      <c r="F235" s="10" t="n">
        <v>239600.017414381</v>
      </c>
      <c r="G235" s="10" t="n">
        <v>45077.6419867452</v>
      </c>
      <c r="H235" s="10" t="n">
        <v>330572.622239413</v>
      </c>
      <c r="I235" s="10" t="n">
        <v>88886.566043586</v>
      </c>
      <c r="J235" s="10" t="n">
        <v>285086.319826897</v>
      </c>
      <c r="K235" s="11" t="n">
        <v>1.37968530139002</v>
      </c>
      <c r="L235" s="11" t="n">
        <v>0.464339233743214</v>
      </c>
      <c r="M235" s="11" t="n">
        <v>0.57731931221979</v>
      </c>
      <c r="N235" s="11" t="n">
        <v>0.0968874840537779</v>
      </c>
      <c r="O235" s="12" t="n">
        <v>0.0583633371831508</v>
      </c>
      <c r="P235" s="12" t="n">
        <v>0.136181120094019</v>
      </c>
      <c r="Q235" s="4" t="n">
        <f aca="false">RANK(N235,$N$7:$N$307,0)</f>
        <v>229</v>
      </c>
      <c r="R235" s="4" t="n">
        <f aca="false">RANK(O235,$O$7:$O$307,1)</f>
        <v>129</v>
      </c>
      <c r="S235" s="4" t="n">
        <f aca="false">RANK(J235,$J$7:$J$307,0)</f>
        <v>238</v>
      </c>
      <c r="T235" s="4" t="str">
        <f aca="false">IF(O235&lt;0.05,"YES","no")</f>
        <v>no</v>
      </c>
      <c r="U235" s="4" t="str">
        <f aca="false">IF(P235&lt;0.05,"YES","no")</f>
        <v>no</v>
      </c>
      <c r="V235" s="4" t="str">
        <f aca="false">IF(N235&gt;1,"YES","no")</f>
        <v>no</v>
      </c>
    </row>
    <row r="236" customFormat="false" ht="15" hidden="false" customHeight="false" outlineLevel="0" collapsed="false">
      <c r="A236" s="4" t="s">
        <v>385</v>
      </c>
      <c r="B236" s="4"/>
      <c r="C236" s="4" t="s">
        <v>72</v>
      </c>
      <c r="D236" s="8" t="n">
        <v>205.11833</v>
      </c>
      <c r="E236" s="9" t="n">
        <v>7.411</v>
      </c>
      <c r="F236" s="10" t="n">
        <v>111329.685186735</v>
      </c>
      <c r="G236" s="10" t="n">
        <v>89333.6430842707</v>
      </c>
      <c r="H236" s="10" t="n">
        <v>258213.714791121</v>
      </c>
      <c r="I236" s="10" t="n">
        <v>89893.4201367594</v>
      </c>
      <c r="J236" s="10" t="n">
        <v>184771.699988928</v>
      </c>
      <c r="K236" s="11" t="n">
        <v>2.31936086370868</v>
      </c>
      <c r="L236" s="11" t="n">
        <v>1.21372730285591</v>
      </c>
      <c r="M236" s="11" t="n">
        <v>0.668042670798707</v>
      </c>
      <c r="N236" s="11" t="n">
        <v>0.095519945042005</v>
      </c>
      <c r="O236" s="12" t="n">
        <v>0.0175803135705822</v>
      </c>
      <c r="P236" s="12" t="n">
        <v>0.0710387720344875</v>
      </c>
      <c r="Q236" s="4" t="n">
        <f aca="false">RANK(N236,$N$7:$N$307,0)</f>
        <v>230</v>
      </c>
      <c r="R236" s="4" t="n">
        <f aca="false">RANK(O236,$O$7:$O$307,1)</f>
        <v>74</v>
      </c>
      <c r="S236" s="4" t="n">
        <f aca="false">RANK(J236,$J$7:$J$307,0)</f>
        <v>257</v>
      </c>
      <c r="T236" s="4" t="str">
        <f aca="false">IF(O236&lt;0.05,"YES","no")</f>
        <v>YES</v>
      </c>
      <c r="U236" s="4" t="str">
        <f aca="false">IF(P236&lt;0.05,"YES","no")</f>
        <v>no</v>
      </c>
      <c r="V236" s="4" t="str">
        <f aca="false">IF(N236&gt;1,"YES","no")</f>
        <v>no</v>
      </c>
    </row>
    <row r="237" customFormat="false" ht="15" hidden="false" customHeight="false" outlineLevel="0" collapsed="false">
      <c r="A237" s="4" t="s">
        <v>325</v>
      </c>
      <c r="B237" s="4"/>
      <c r="C237" s="4" t="s">
        <v>61</v>
      </c>
      <c r="D237" s="8" t="n">
        <v>162.07602</v>
      </c>
      <c r="E237" s="9" t="n">
        <v>9.033</v>
      </c>
      <c r="F237" s="10" t="n">
        <v>702037.365401137</v>
      </c>
      <c r="G237" s="10" t="n">
        <v>172524.41375326</v>
      </c>
      <c r="H237" s="10" t="n">
        <v>871833.113707288</v>
      </c>
      <c r="I237" s="10" t="n">
        <v>171994.579859017</v>
      </c>
      <c r="J237" s="10" t="n">
        <v>786935.239554212</v>
      </c>
      <c r="K237" s="11" t="n">
        <v>1.24186141176279</v>
      </c>
      <c r="L237" s="11" t="n">
        <v>0.31250418183655</v>
      </c>
      <c r="M237" s="11" t="n">
        <v>0.475072673695828</v>
      </c>
      <c r="N237" s="11" t="n">
        <v>0.0950658755543429</v>
      </c>
      <c r="O237" s="12" t="n">
        <v>0.118575469584304</v>
      </c>
      <c r="P237" s="12" t="n">
        <v>0.21769819719302</v>
      </c>
      <c r="Q237" s="4" t="n">
        <f aca="false">RANK(N237,$N$7:$N$307,0)</f>
        <v>231</v>
      </c>
      <c r="R237" s="4" t="n">
        <f aca="false">RANK(O237,$O$7:$O$307,1)</f>
        <v>162</v>
      </c>
      <c r="S237" s="4" t="n">
        <f aca="false">RANK(J237,$J$7:$J$307,0)</f>
        <v>187</v>
      </c>
      <c r="T237" s="4" t="str">
        <f aca="false">IF(O237&lt;0.05,"YES","no")</f>
        <v>no</v>
      </c>
      <c r="U237" s="4" t="str">
        <f aca="false">IF(P237&lt;0.05,"YES","no")</f>
        <v>no</v>
      </c>
      <c r="V237" s="4" t="str">
        <f aca="false">IF(N237&gt;1,"YES","no")</f>
        <v>no</v>
      </c>
    </row>
    <row r="238" customFormat="false" ht="15" hidden="false" customHeight="false" outlineLevel="0" collapsed="false">
      <c r="A238" s="4" t="s">
        <v>287</v>
      </c>
      <c r="B238" s="4" t="s">
        <v>142</v>
      </c>
      <c r="C238" s="4" t="s">
        <v>61</v>
      </c>
      <c r="D238" s="8" t="n">
        <v>606.07521</v>
      </c>
      <c r="E238" s="9" t="n">
        <v>8.336</v>
      </c>
      <c r="F238" s="10" t="n">
        <v>197088.865054044</v>
      </c>
      <c r="G238" s="10" t="n">
        <v>135175.894801387</v>
      </c>
      <c r="H238" s="10" t="n">
        <v>340475.527074542</v>
      </c>
      <c r="I238" s="10" t="n">
        <v>55939.599085937</v>
      </c>
      <c r="J238" s="10" t="n">
        <v>268782.196064293</v>
      </c>
      <c r="K238" s="11" t="n">
        <v>1.72752289674599</v>
      </c>
      <c r="L238" s="11" t="n">
        <v>0.788704832351874</v>
      </c>
      <c r="M238" s="11" t="n">
        <v>0.604682323743586</v>
      </c>
      <c r="N238" s="11" t="n">
        <v>0.0908932188169138</v>
      </c>
      <c r="O238" s="12" t="n">
        <v>0.0491607761253622</v>
      </c>
      <c r="P238" s="12" t="n">
        <v>0.12613699915365</v>
      </c>
      <c r="Q238" s="4" t="n">
        <f aca="false">RANK(N238,$N$7:$N$307,0)</f>
        <v>232</v>
      </c>
      <c r="R238" s="4" t="n">
        <f aca="false">RANK(O238,$O$7:$O$307,1)</f>
        <v>117</v>
      </c>
      <c r="S238" s="4" t="n">
        <f aca="false">RANK(J238,$J$7:$J$307,0)</f>
        <v>240</v>
      </c>
      <c r="T238" s="4" t="str">
        <f aca="false">IF(O238&lt;0.05,"YES","no")</f>
        <v>YES</v>
      </c>
      <c r="U238" s="4" t="str">
        <f aca="false">IF(P238&lt;0.05,"YES","no")</f>
        <v>no</v>
      </c>
      <c r="V238" s="4" t="str">
        <f aca="false">IF(N238&gt;1,"YES","no")</f>
        <v>no</v>
      </c>
    </row>
    <row r="239" customFormat="false" ht="15" hidden="false" customHeight="false" outlineLevel="0" collapsed="false">
      <c r="A239" s="4" t="s">
        <v>301</v>
      </c>
      <c r="B239" s="4"/>
      <c r="C239" s="4" t="s">
        <v>72</v>
      </c>
      <c r="D239" s="8" t="n">
        <v>209.03024</v>
      </c>
      <c r="E239" s="9" t="n">
        <v>9.886</v>
      </c>
      <c r="F239" s="10" t="n">
        <v>239302.794944114</v>
      </c>
      <c r="G239" s="10" t="n">
        <v>84481.8918247676</v>
      </c>
      <c r="H239" s="10" t="n">
        <v>389996.523638879</v>
      </c>
      <c r="I239" s="10" t="n">
        <v>200163.006047062</v>
      </c>
      <c r="J239" s="10" t="n">
        <v>314649.659291496</v>
      </c>
      <c r="K239" s="11" t="n">
        <v>1.62971988576213</v>
      </c>
      <c r="L239" s="11" t="n">
        <v>0.704624017125284</v>
      </c>
      <c r="M239" s="11" t="n">
        <v>0.473282600518206</v>
      </c>
      <c r="N239" s="11" t="n">
        <v>0.0899383864475243</v>
      </c>
      <c r="O239" s="12" t="n">
        <v>0.134866124754906</v>
      </c>
      <c r="P239" s="12" t="n">
        <v>0.232783314105425</v>
      </c>
      <c r="Q239" s="4" t="n">
        <f aca="false">RANK(N239,$N$7:$N$307,0)</f>
        <v>233</v>
      </c>
      <c r="R239" s="4" t="n">
        <f aca="false">RANK(O239,$O$7:$O$307,1)</f>
        <v>174</v>
      </c>
      <c r="S239" s="4" t="n">
        <f aca="false">RANK(J239,$J$7:$J$307,0)</f>
        <v>233</v>
      </c>
      <c r="T239" s="4" t="str">
        <f aca="false">IF(O239&lt;0.05,"YES","no")</f>
        <v>no</v>
      </c>
      <c r="U239" s="4" t="str">
        <f aca="false">IF(P239&lt;0.05,"YES","no")</f>
        <v>no</v>
      </c>
      <c r="V239" s="4" t="str">
        <f aca="false">IF(N239&gt;1,"YES","no")</f>
        <v>no</v>
      </c>
    </row>
    <row r="240" customFormat="false" ht="15" hidden="false" customHeight="false" outlineLevel="0" collapsed="false">
      <c r="A240" s="4" t="s">
        <v>304</v>
      </c>
      <c r="B240" s="4"/>
      <c r="C240" s="4" t="s">
        <v>61</v>
      </c>
      <c r="D240" s="8" t="n">
        <v>130.04979</v>
      </c>
      <c r="E240" s="9" t="n">
        <v>7.367</v>
      </c>
      <c r="F240" s="10" t="n">
        <v>1001124.69400742</v>
      </c>
      <c r="G240" s="10" t="n">
        <v>479004.689974369</v>
      </c>
      <c r="H240" s="10" t="n">
        <v>1209641.16931639</v>
      </c>
      <c r="I240" s="10" t="n">
        <v>215163.243829469</v>
      </c>
      <c r="J240" s="10" t="n">
        <v>1105382.9316619</v>
      </c>
      <c r="K240" s="11" t="n">
        <v>1.20828222154255</v>
      </c>
      <c r="L240" s="11" t="n">
        <v>0.272957467962261</v>
      </c>
      <c r="M240" s="11" t="n">
        <v>0.293992399568812</v>
      </c>
      <c r="N240" s="11" t="n">
        <v>0.0893065924689263</v>
      </c>
      <c r="O240" s="12" t="n">
        <v>0.363395929434521</v>
      </c>
      <c r="P240" s="12" t="n">
        <v>0.488313280177637</v>
      </c>
      <c r="Q240" s="4" t="n">
        <f aca="false">RANK(N240,$N$7:$N$307,0)</f>
        <v>234</v>
      </c>
      <c r="R240" s="4" t="n">
        <f aca="false">RANK(O240,$O$7:$O$307,1)</f>
        <v>224</v>
      </c>
      <c r="S240" s="4" t="n">
        <f aca="false">RANK(J240,$J$7:$J$307,0)</f>
        <v>167</v>
      </c>
      <c r="T240" s="4" t="str">
        <f aca="false">IF(O240&lt;0.05,"YES","no")</f>
        <v>no</v>
      </c>
      <c r="U240" s="4" t="str">
        <f aca="false">IF(P240&lt;0.05,"YES","no")</f>
        <v>no</v>
      </c>
      <c r="V240" s="4" t="str">
        <f aca="false">IF(N240&gt;1,"YES","no")</f>
        <v>no</v>
      </c>
    </row>
    <row r="241" customFormat="false" ht="15" hidden="false" customHeight="false" outlineLevel="0" collapsed="false">
      <c r="A241" s="4" t="s">
        <v>237</v>
      </c>
      <c r="B241" s="4"/>
      <c r="C241" s="4" t="s">
        <v>72</v>
      </c>
      <c r="D241" s="8" t="n">
        <v>303.23251</v>
      </c>
      <c r="E241" s="9" t="n">
        <v>3.641</v>
      </c>
      <c r="F241" s="10" t="n">
        <v>2163365.91111275</v>
      </c>
      <c r="G241" s="10" t="n">
        <v>1611840.78948105</v>
      </c>
      <c r="H241" s="10" t="n">
        <v>2772441.68851299</v>
      </c>
      <c r="I241" s="10" t="n">
        <v>3518371.90555571</v>
      </c>
      <c r="J241" s="10" t="n">
        <v>2467903.79981287</v>
      </c>
      <c r="K241" s="11" t="n">
        <v>1.28154080374085</v>
      </c>
      <c r="L241" s="11" t="n">
        <v>0.357879414187357</v>
      </c>
      <c r="M241" s="11" t="n">
        <v>0.121012855378022</v>
      </c>
      <c r="N241" s="11" t="n">
        <v>0.0889414201899426</v>
      </c>
      <c r="O241" s="12" t="n">
        <v>0.711291267896256</v>
      </c>
      <c r="P241" s="12" t="n">
        <v>0.801867684032858</v>
      </c>
      <c r="Q241" s="4" t="n">
        <f aca="false">RANK(N241,$N$7:$N$307,0)</f>
        <v>235</v>
      </c>
      <c r="R241" s="4" t="n">
        <f aca="false">RANK(O241,$O$7:$O$307,1)</f>
        <v>267</v>
      </c>
      <c r="S241" s="4" t="n">
        <f aca="false">RANK(J241,$J$7:$J$307,0)</f>
        <v>132</v>
      </c>
      <c r="T241" s="4" t="str">
        <f aca="false">IF(O241&lt;0.05,"YES","no")</f>
        <v>no</v>
      </c>
      <c r="U241" s="4" t="str">
        <f aca="false">IF(P241&lt;0.05,"YES","no")</f>
        <v>no</v>
      </c>
      <c r="V241" s="4" t="str">
        <f aca="false">IF(N241&gt;1,"YES","no")</f>
        <v>no</v>
      </c>
    </row>
    <row r="242" customFormat="false" ht="15" hidden="false" customHeight="false" outlineLevel="0" collapsed="false">
      <c r="A242" s="4" t="s">
        <v>378</v>
      </c>
      <c r="B242" s="4"/>
      <c r="C242" s="4" t="s">
        <v>61</v>
      </c>
      <c r="D242" s="8" t="n">
        <v>176.03867</v>
      </c>
      <c r="E242" s="9" t="n">
        <v>5.022</v>
      </c>
      <c r="F242" s="10" t="n">
        <v>76103.2865435196</v>
      </c>
      <c r="G242" s="10" t="n">
        <v>76068.5834615655</v>
      </c>
      <c r="H242" s="10" t="n">
        <v>202505.869621107</v>
      </c>
      <c r="I242" s="10" t="n">
        <v>72329.9968896706</v>
      </c>
      <c r="J242" s="10" t="n">
        <v>139304.578082313</v>
      </c>
      <c r="K242" s="11" t="n">
        <v>2.6609346168684</v>
      </c>
      <c r="L242" s="11" t="n">
        <v>1.4119330616271</v>
      </c>
      <c r="M242" s="11" t="n">
        <v>0.682101822544638</v>
      </c>
      <c r="N242" s="11" t="n">
        <v>0.0885128283942455</v>
      </c>
      <c r="O242" s="12" t="n">
        <v>0.0145796071254654</v>
      </c>
      <c r="P242" s="12" t="n">
        <v>0.0645362021288981</v>
      </c>
      <c r="Q242" s="4" t="n">
        <f aca="false">RANK(N242,$N$7:$N$307,0)</f>
        <v>236</v>
      </c>
      <c r="R242" s="4" t="n">
        <f aca="false">RANK(O242,$O$7:$O$307,1)</f>
        <v>68</v>
      </c>
      <c r="S242" s="4" t="n">
        <f aca="false">RANK(J242,$J$7:$J$307,0)</f>
        <v>269</v>
      </c>
      <c r="T242" s="4" t="str">
        <f aca="false">IF(O242&lt;0.05,"YES","no")</f>
        <v>YES</v>
      </c>
      <c r="U242" s="4" t="str">
        <f aca="false">IF(P242&lt;0.05,"YES","no")</f>
        <v>no</v>
      </c>
      <c r="V242" s="4" t="str">
        <f aca="false">IF(N242&gt;1,"YES","no")</f>
        <v>no</v>
      </c>
    </row>
    <row r="243" customFormat="false" ht="15" hidden="false" customHeight="false" outlineLevel="0" collapsed="false">
      <c r="A243" s="4" t="s">
        <v>306</v>
      </c>
      <c r="B243" s="4"/>
      <c r="C243" s="4" t="s">
        <v>72</v>
      </c>
      <c r="D243" s="8" t="n">
        <v>295.12866</v>
      </c>
      <c r="E243" s="9" t="n">
        <v>8.215</v>
      </c>
      <c r="F243" s="10" t="n">
        <v>289761.522478384</v>
      </c>
      <c r="G243" s="10" t="n">
        <v>193524.543447868</v>
      </c>
      <c r="H243" s="10" t="n">
        <v>427732.062497347</v>
      </c>
      <c r="I243" s="10" t="n">
        <v>71499.4747934427</v>
      </c>
      <c r="J243" s="10" t="n">
        <v>358746.792487865</v>
      </c>
      <c r="K243" s="11" t="n">
        <v>1.47615203992192</v>
      </c>
      <c r="L243" s="11" t="n">
        <v>0.561841322986977</v>
      </c>
      <c r="M243" s="11" t="n">
        <v>0.459963789640758</v>
      </c>
      <c r="N243" s="11" t="n">
        <v>0.0879139935301168</v>
      </c>
      <c r="O243" s="12" t="n">
        <v>0.149855932390702</v>
      </c>
      <c r="P243" s="12" t="n">
        <v>0.253408065447198</v>
      </c>
      <c r="Q243" s="4" t="n">
        <f aca="false">RANK(N243,$N$7:$N$307,0)</f>
        <v>237</v>
      </c>
      <c r="R243" s="4" t="n">
        <f aca="false">RANK(O243,$O$7:$O$307,1)</f>
        <v>178</v>
      </c>
      <c r="S243" s="4" t="n">
        <f aca="false">RANK(J243,$J$7:$J$307,0)</f>
        <v>223</v>
      </c>
      <c r="T243" s="4" t="str">
        <f aca="false">IF(O243&lt;0.05,"YES","no")</f>
        <v>no</v>
      </c>
      <c r="U243" s="4" t="str">
        <f aca="false">IF(P243&lt;0.05,"YES","no")</f>
        <v>no</v>
      </c>
      <c r="V243" s="4" t="str">
        <f aca="false">IF(N243&gt;1,"YES","no")</f>
        <v>no</v>
      </c>
    </row>
    <row r="244" customFormat="false" ht="15" hidden="false" customHeight="false" outlineLevel="0" collapsed="false">
      <c r="A244" s="4" t="s">
        <v>290</v>
      </c>
      <c r="B244" s="4"/>
      <c r="C244" s="4" t="s">
        <v>72</v>
      </c>
      <c r="D244" s="8" t="n">
        <v>382.55025</v>
      </c>
      <c r="E244" s="9" t="n">
        <v>8.732</v>
      </c>
      <c r="F244" s="10" t="n">
        <v>479012.612930776</v>
      </c>
      <c r="G244" s="10" t="n">
        <v>316526.504828878</v>
      </c>
      <c r="H244" s="10" t="n">
        <v>465755.933015452</v>
      </c>
      <c r="I244" s="10" t="n">
        <v>294677.582037825</v>
      </c>
      <c r="J244" s="10" t="n">
        <v>472384.272973114</v>
      </c>
      <c r="K244" s="11" t="n">
        <v>0.972324987782232</v>
      </c>
      <c r="L244" s="11" t="n">
        <v>-0.0404894972106645</v>
      </c>
      <c r="M244" s="11" t="n">
        <v>0.0237377439910856</v>
      </c>
      <c r="N244" s="11" t="n">
        <v>0.0856632403568553</v>
      </c>
      <c r="O244" s="12" t="n">
        <v>0.941634193664569</v>
      </c>
      <c r="P244" s="12" t="n">
        <v>0.96391750325733</v>
      </c>
      <c r="Q244" s="4" t="n">
        <f aca="false">RANK(N244,$N$7:$N$307,0)</f>
        <v>238</v>
      </c>
      <c r="R244" s="4" t="n">
        <f aca="false">RANK(O244,$O$7:$O$307,1)</f>
        <v>292</v>
      </c>
      <c r="S244" s="4" t="n">
        <f aca="false">RANK(J244,$J$7:$J$307,0)</f>
        <v>212</v>
      </c>
      <c r="T244" s="4" t="str">
        <f aca="false">IF(O244&lt;0.05,"YES","no")</f>
        <v>no</v>
      </c>
      <c r="U244" s="4" t="str">
        <f aca="false">IF(P244&lt;0.05,"YES","no")</f>
        <v>no</v>
      </c>
      <c r="V244" s="4" t="str">
        <f aca="false">IF(N244&gt;1,"YES","no")</f>
        <v>no</v>
      </c>
    </row>
    <row r="245" customFormat="false" ht="15" hidden="false" customHeight="false" outlineLevel="0" collapsed="false">
      <c r="A245" s="4" t="s">
        <v>299</v>
      </c>
      <c r="B245" s="4" t="s">
        <v>300</v>
      </c>
      <c r="C245" s="4" t="s">
        <v>72</v>
      </c>
      <c r="D245" s="8" t="n">
        <v>442.01716</v>
      </c>
      <c r="E245" s="9" t="n">
        <v>10.732</v>
      </c>
      <c r="F245" s="10" t="n">
        <v>613095.376815707</v>
      </c>
      <c r="G245" s="10" t="n">
        <v>189954.714461278</v>
      </c>
      <c r="H245" s="10" t="n">
        <v>675097.330774623</v>
      </c>
      <c r="I245" s="10" t="n">
        <v>136939.346471675</v>
      </c>
      <c r="J245" s="10" t="n">
        <v>644096.353795165</v>
      </c>
      <c r="K245" s="11" t="n">
        <v>1.10112937775023</v>
      </c>
      <c r="L245" s="11" t="n">
        <v>0.138983989041072</v>
      </c>
      <c r="M245" s="11" t="n">
        <v>0.200911286063941</v>
      </c>
      <c r="N245" s="11" t="n">
        <v>0.0849591696180658</v>
      </c>
      <c r="O245" s="12" t="n">
        <v>0.532658696898481</v>
      </c>
      <c r="P245" s="12" t="n">
        <v>0.631221526639539</v>
      </c>
      <c r="Q245" s="4" t="n">
        <f aca="false">RANK(N245,$N$7:$N$307,0)</f>
        <v>239</v>
      </c>
      <c r="R245" s="4" t="n">
        <f aca="false">RANK(O245,$O$7:$O$307,1)</f>
        <v>254</v>
      </c>
      <c r="S245" s="4" t="n">
        <f aca="false">RANK(J245,$J$7:$J$307,0)</f>
        <v>194</v>
      </c>
      <c r="T245" s="4" t="str">
        <f aca="false">IF(O245&lt;0.05,"YES","no")</f>
        <v>no</v>
      </c>
      <c r="U245" s="4" t="str">
        <f aca="false">IF(P245&lt;0.05,"YES","no")</f>
        <v>no</v>
      </c>
      <c r="V245" s="4" t="str">
        <f aca="false">IF(N245&gt;1,"YES","no")</f>
        <v>no</v>
      </c>
    </row>
    <row r="246" customFormat="false" ht="15" hidden="false" customHeight="false" outlineLevel="0" collapsed="false">
      <c r="A246" s="4" t="s">
        <v>377</v>
      </c>
      <c r="B246" s="4"/>
      <c r="C246" s="4" t="s">
        <v>72</v>
      </c>
      <c r="D246" s="8" t="n">
        <v>169.12354</v>
      </c>
      <c r="E246" s="9" t="n">
        <v>4.057</v>
      </c>
      <c r="F246" s="10" t="n">
        <v>224005.926628714</v>
      </c>
      <c r="G246" s="10" t="n">
        <v>139766.86850142</v>
      </c>
      <c r="H246" s="10" t="n">
        <v>384306.049155564</v>
      </c>
      <c r="I246" s="10" t="n">
        <v>172918.623904067</v>
      </c>
      <c r="J246" s="10" t="n">
        <v>304155.987892139</v>
      </c>
      <c r="K246" s="11" t="n">
        <v>1.7156066133578</v>
      </c>
      <c r="L246" s="11" t="n">
        <v>0.778718782429143</v>
      </c>
      <c r="M246" s="11" t="n">
        <v>0.487577235848768</v>
      </c>
      <c r="N246" s="11" t="n">
        <v>0.0846566082841709</v>
      </c>
      <c r="O246" s="12" t="n">
        <v>0.109179790884202</v>
      </c>
      <c r="P246" s="12" t="n">
        <v>0.206740551240264</v>
      </c>
      <c r="Q246" s="4" t="n">
        <f aca="false">RANK(N246,$N$7:$N$307,0)</f>
        <v>240</v>
      </c>
      <c r="R246" s="4" t="n">
        <f aca="false">RANK(O246,$O$7:$O$307,1)</f>
        <v>157</v>
      </c>
      <c r="S246" s="4" t="n">
        <f aca="false">RANK(J246,$J$7:$J$307,0)</f>
        <v>234</v>
      </c>
      <c r="T246" s="4" t="str">
        <f aca="false">IF(O246&lt;0.05,"YES","no")</f>
        <v>no</v>
      </c>
      <c r="U246" s="4" t="str">
        <f aca="false">IF(P246&lt;0.05,"YES","no")</f>
        <v>no</v>
      </c>
      <c r="V246" s="4" t="str">
        <f aca="false">IF(N246&gt;1,"YES","no")</f>
        <v>no</v>
      </c>
    </row>
    <row r="247" customFormat="false" ht="15" hidden="false" customHeight="false" outlineLevel="0" collapsed="false">
      <c r="A247" s="4" t="s">
        <v>345</v>
      </c>
      <c r="B247" s="4"/>
      <c r="C247" s="4" t="s">
        <v>72</v>
      </c>
      <c r="D247" s="8" t="n">
        <v>208.0967</v>
      </c>
      <c r="E247" s="9" t="n">
        <v>5.003</v>
      </c>
      <c r="F247" s="10" t="n">
        <v>117743.354056269</v>
      </c>
      <c r="G247" s="10" t="n">
        <v>63768.5332704712</v>
      </c>
      <c r="H247" s="10" t="n">
        <v>248214.64012948</v>
      </c>
      <c r="I247" s="10" t="n">
        <v>160641.326694568</v>
      </c>
      <c r="J247" s="10" t="n">
        <v>182978.997092875</v>
      </c>
      <c r="K247" s="11" t="n">
        <v>2.10809894213528</v>
      </c>
      <c r="L247" s="11" t="n">
        <v>1.07594258043721</v>
      </c>
      <c r="M247" s="11" t="n">
        <v>0.504772571679922</v>
      </c>
      <c r="N247" s="11" t="n">
        <v>0.0846302816676925</v>
      </c>
      <c r="O247" s="12" t="n">
        <v>0.109895309629376</v>
      </c>
      <c r="P247" s="12" t="n">
        <v>0.206740551240264</v>
      </c>
      <c r="Q247" s="4" t="n">
        <f aca="false">RANK(N247,$N$7:$N$307,0)</f>
        <v>241</v>
      </c>
      <c r="R247" s="4" t="n">
        <f aca="false">RANK(O247,$O$7:$O$307,1)</f>
        <v>160</v>
      </c>
      <c r="S247" s="4" t="n">
        <f aca="false">RANK(J247,$J$7:$J$307,0)</f>
        <v>258</v>
      </c>
      <c r="T247" s="4" t="str">
        <f aca="false">IF(O247&lt;0.05,"YES","no")</f>
        <v>no</v>
      </c>
      <c r="U247" s="4" t="str">
        <f aca="false">IF(P247&lt;0.05,"YES","no")</f>
        <v>no</v>
      </c>
      <c r="V247" s="4" t="str">
        <f aca="false">IF(N247&gt;1,"YES","no")</f>
        <v>no</v>
      </c>
    </row>
    <row r="248" customFormat="false" ht="15" hidden="false" customHeight="false" outlineLevel="0" collapsed="false">
      <c r="A248" s="4" t="s">
        <v>230</v>
      </c>
      <c r="B248" s="4"/>
      <c r="C248" s="4" t="s">
        <v>61</v>
      </c>
      <c r="D248" s="8" t="n">
        <v>175.02481</v>
      </c>
      <c r="E248" s="9" t="n">
        <v>10.321</v>
      </c>
      <c r="F248" s="10" t="n">
        <v>708388.093330005</v>
      </c>
      <c r="G248" s="10" t="n">
        <v>172443.514840272</v>
      </c>
      <c r="H248" s="10" t="n">
        <v>891155.126681976</v>
      </c>
      <c r="I248" s="10" t="n">
        <v>243997.411469647</v>
      </c>
      <c r="J248" s="10" t="n">
        <v>799771.610005991</v>
      </c>
      <c r="K248" s="11" t="n">
        <v>1.25800410124458</v>
      </c>
      <c r="L248" s="11" t="n">
        <v>0.331136625584114</v>
      </c>
      <c r="M248" s="11" t="n">
        <v>0.428189526365793</v>
      </c>
      <c r="N248" s="11" t="n">
        <v>0.0841706201120705</v>
      </c>
      <c r="O248" s="12" t="n">
        <v>0.168276528466938</v>
      </c>
      <c r="P248" s="12" t="n">
        <v>0.275278451459503</v>
      </c>
      <c r="Q248" s="4" t="n">
        <f aca="false">RANK(N248,$N$7:$N$307,0)</f>
        <v>242</v>
      </c>
      <c r="R248" s="4" t="n">
        <f aca="false">RANK(O248,$O$7:$O$307,1)</f>
        <v>184</v>
      </c>
      <c r="S248" s="4" t="n">
        <f aca="false">RANK(J248,$J$7:$J$307,0)</f>
        <v>186</v>
      </c>
      <c r="T248" s="4" t="str">
        <f aca="false">IF(O248&lt;0.05,"YES","no")</f>
        <v>no</v>
      </c>
      <c r="U248" s="4" t="str">
        <f aca="false">IF(P248&lt;0.05,"YES","no")</f>
        <v>no</v>
      </c>
      <c r="V248" s="4" t="str">
        <f aca="false">IF(N248&gt;1,"YES","no")</f>
        <v>no</v>
      </c>
    </row>
    <row r="249" customFormat="false" ht="15" hidden="false" customHeight="false" outlineLevel="0" collapsed="false">
      <c r="A249" s="4" t="s">
        <v>276</v>
      </c>
      <c r="B249" s="4"/>
      <c r="C249" s="4" t="s">
        <v>72</v>
      </c>
      <c r="D249" s="8" t="n">
        <v>203.05258</v>
      </c>
      <c r="E249" s="9" t="n">
        <v>10.569</v>
      </c>
      <c r="F249" s="10" t="n">
        <v>604801.248866478</v>
      </c>
      <c r="G249" s="10" t="n">
        <v>188803.852251314</v>
      </c>
      <c r="H249" s="10" t="n">
        <v>750247.619643276</v>
      </c>
      <c r="I249" s="10" t="n">
        <v>226226.518161739</v>
      </c>
      <c r="J249" s="10" t="n">
        <v>677524.434254877</v>
      </c>
      <c r="K249" s="11" t="n">
        <v>1.24048622758203</v>
      </c>
      <c r="L249" s="11" t="n">
        <v>0.310905717891038</v>
      </c>
      <c r="M249" s="11" t="n">
        <v>0.357130903284021</v>
      </c>
      <c r="N249" s="11" t="n">
        <v>0.0820273739396262</v>
      </c>
      <c r="O249" s="12" t="n">
        <v>0.255306078936187</v>
      </c>
      <c r="P249" s="12" t="n">
        <v>0.373044319222292</v>
      </c>
      <c r="Q249" s="4" t="n">
        <f aca="false">RANK(N249,$N$7:$N$307,0)</f>
        <v>243</v>
      </c>
      <c r="R249" s="4" t="n">
        <f aca="false">RANK(O249,$O$7:$O$307,1)</f>
        <v>206</v>
      </c>
      <c r="S249" s="4" t="n">
        <f aca="false">RANK(J249,$J$7:$J$307,0)</f>
        <v>193</v>
      </c>
      <c r="T249" s="4" t="str">
        <f aca="false">IF(O249&lt;0.05,"YES","no")</f>
        <v>no</v>
      </c>
      <c r="U249" s="4" t="str">
        <f aca="false">IF(P249&lt;0.05,"YES","no")</f>
        <v>no</v>
      </c>
      <c r="V249" s="4" t="str">
        <f aca="false">IF(N249&gt;1,"YES","no")</f>
        <v>no</v>
      </c>
    </row>
    <row r="250" customFormat="false" ht="15" hidden="false" customHeight="false" outlineLevel="0" collapsed="false">
      <c r="A250" s="4" t="s">
        <v>176</v>
      </c>
      <c r="B250" s="4"/>
      <c r="C250" s="4" t="s">
        <v>72</v>
      </c>
      <c r="D250" s="8" t="n">
        <v>126.10251</v>
      </c>
      <c r="E250" s="9" t="n">
        <v>12.961</v>
      </c>
      <c r="F250" s="10" t="n">
        <v>8765422.69298781</v>
      </c>
      <c r="G250" s="10" t="n">
        <v>2198728.97139375</v>
      </c>
      <c r="H250" s="10" t="n">
        <v>8230004.12506665</v>
      </c>
      <c r="I250" s="10" t="n">
        <v>2222480.60421007</v>
      </c>
      <c r="J250" s="10" t="n">
        <v>8497713.40902723</v>
      </c>
      <c r="K250" s="11" t="n">
        <v>0.938916971072086</v>
      </c>
      <c r="L250" s="11" t="n">
        <v>-0.0909305096587277</v>
      </c>
      <c r="M250" s="11" t="n">
        <v>0.131506879622001</v>
      </c>
      <c r="N250" s="11" t="n">
        <v>0.0805707296749357</v>
      </c>
      <c r="O250" s="12" t="n">
        <v>0.683718103428347</v>
      </c>
      <c r="P250" s="12" t="n">
        <v>0.776600562762009</v>
      </c>
      <c r="Q250" s="4" t="n">
        <f aca="false">RANK(N250,$N$7:$N$307,0)</f>
        <v>244</v>
      </c>
      <c r="R250" s="4" t="n">
        <f aca="false">RANK(O250,$O$7:$O$307,1)</f>
        <v>265</v>
      </c>
      <c r="S250" s="4" t="n">
        <f aca="false">RANK(J250,$J$7:$J$307,0)</f>
        <v>85</v>
      </c>
      <c r="T250" s="4" t="str">
        <f aca="false">IF(O250&lt;0.05,"YES","no")</f>
        <v>no</v>
      </c>
      <c r="U250" s="4" t="str">
        <f aca="false">IF(P250&lt;0.05,"YES","no")</f>
        <v>no</v>
      </c>
      <c r="V250" s="4" t="str">
        <f aca="false">IF(N250&gt;1,"YES","no")</f>
        <v>no</v>
      </c>
    </row>
    <row r="251" customFormat="false" ht="15" hidden="false" customHeight="false" outlineLevel="0" collapsed="false">
      <c r="A251" s="4" t="s">
        <v>296</v>
      </c>
      <c r="B251" s="4" t="s">
        <v>297</v>
      </c>
      <c r="C251" s="4" t="s">
        <v>72</v>
      </c>
      <c r="D251" s="8" t="n">
        <v>348.07035</v>
      </c>
      <c r="E251" s="9" t="n">
        <v>10.014</v>
      </c>
      <c r="F251" s="10" t="n">
        <v>1037008.9639671</v>
      </c>
      <c r="G251" s="10" t="n">
        <v>566276.615146942</v>
      </c>
      <c r="H251" s="10" t="n">
        <v>994903.451563552</v>
      </c>
      <c r="I251" s="10" t="n">
        <v>548145.790087369</v>
      </c>
      <c r="J251" s="10" t="n">
        <v>1015956.20776532</v>
      </c>
      <c r="K251" s="11" t="n">
        <v>0.959397156758928</v>
      </c>
      <c r="L251" s="11" t="n">
        <v>-0.0597999308700306</v>
      </c>
      <c r="M251" s="11" t="n">
        <v>0.0413476391678226</v>
      </c>
      <c r="N251" s="11" t="n">
        <v>0.0797920817767555</v>
      </c>
      <c r="O251" s="12" t="n">
        <v>0.898480339023024</v>
      </c>
      <c r="P251" s="12" t="n">
        <v>0.94230864824366</v>
      </c>
      <c r="Q251" s="4" t="n">
        <f aca="false">RANK(N251,$N$7:$N$307,0)</f>
        <v>245</v>
      </c>
      <c r="R251" s="4" t="n">
        <f aca="false">RANK(O251,$O$7:$O$307,1)</f>
        <v>287</v>
      </c>
      <c r="S251" s="4" t="n">
        <f aca="false">RANK(J251,$J$7:$J$307,0)</f>
        <v>174</v>
      </c>
      <c r="T251" s="4" t="str">
        <f aca="false">IF(O251&lt;0.05,"YES","no")</f>
        <v>no</v>
      </c>
      <c r="U251" s="4" t="str">
        <f aca="false">IF(P251&lt;0.05,"YES","no")</f>
        <v>no</v>
      </c>
      <c r="V251" s="4" t="str">
        <f aca="false">IF(N251&gt;1,"YES","no")</f>
        <v>no</v>
      </c>
    </row>
    <row r="252" customFormat="false" ht="15" hidden="false" customHeight="false" outlineLevel="0" collapsed="false">
      <c r="A252" s="4" t="s">
        <v>364</v>
      </c>
      <c r="B252" s="4" t="s">
        <v>365</v>
      </c>
      <c r="C252" s="4" t="s">
        <v>72</v>
      </c>
      <c r="D252" s="8" t="n">
        <v>196.09677</v>
      </c>
      <c r="E252" s="9" t="n">
        <v>5.013</v>
      </c>
      <c r="F252" s="10" t="n">
        <v>271519.043280425</v>
      </c>
      <c r="G252" s="10" t="n">
        <v>85879.9872374397</v>
      </c>
      <c r="H252" s="10" t="n">
        <v>379402.164453474</v>
      </c>
      <c r="I252" s="10" t="n">
        <v>85158.7858416402</v>
      </c>
      <c r="J252" s="10" t="n">
        <v>325460.603866949</v>
      </c>
      <c r="K252" s="11" t="n">
        <v>1.39733169309096</v>
      </c>
      <c r="L252" s="11" t="n">
        <v>0.482674522663563</v>
      </c>
      <c r="M252" s="11" t="n">
        <v>0.568453828382483</v>
      </c>
      <c r="N252" s="11" t="n">
        <v>0.079073244646249</v>
      </c>
      <c r="O252" s="12" t="n">
        <v>0.0537933567083598</v>
      </c>
      <c r="P252" s="12" t="n">
        <v>0.127934238480801</v>
      </c>
      <c r="Q252" s="4" t="n">
        <f aca="false">RANK(N252,$N$7:$N$307,0)</f>
        <v>246</v>
      </c>
      <c r="R252" s="4" t="n">
        <f aca="false">RANK(O252,$O$7:$O$307,1)</f>
        <v>125</v>
      </c>
      <c r="S252" s="4" t="n">
        <f aca="false">RANK(J252,$J$7:$J$307,0)</f>
        <v>231</v>
      </c>
      <c r="T252" s="4" t="str">
        <f aca="false">IF(O252&lt;0.05,"YES","no")</f>
        <v>no</v>
      </c>
      <c r="U252" s="4" t="str">
        <f aca="false">IF(P252&lt;0.05,"YES","no")</f>
        <v>no</v>
      </c>
      <c r="V252" s="4" t="str">
        <f aca="false">IF(N252&gt;1,"YES","no")</f>
        <v>no</v>
      </c>
    </row>
    <row r="253" customFormat="false" ht="15" hidden="false" customHeight="false" outlineLevel="0" collapsed="false">
      <c r="A253" s="4" t="s">
        <v>283</v>
      </c>
      <c r="B253" s="4"/>
      <c r="C253" s="4" t="s">
        <v>72</v>
      </c>
      <c r="D253" s="8" t="n">
        <v>405.00966</v>
      </c>
      <c r="E253" s="9" t="n">
        <v>8.863</v>
      </c>
      <c r="F253" s="10" t="n">
        <v>273901.071142785</v>
      </c>
      <c r="G253" s="10" t="n">
        <v>67257.0613612051</v>
      </c>
      <c r="H253" s="10" t="n">
        <v>377711.57165346</v>
      </c>
      <c r="I253" s="10" t="n">
        <v>67804.3348070127</v>
      </c>
      <c r="J253" s="10" t="n">
        <v>325806.321398123</v>
      </c>
      <c r="K253" s="11" t="n">
        <v>1.37900728199985</v>
      </c>
      <c r="L253" s="11" t="n">
        <v>0.463630075182086</v>
      </c>
      <c r="M253" s="11" t="n">
        <v>0.644075629370186</v>
      </c>
      <c r="N253" s="11" t="n">
        <v>0.0778495018500753</v>
      </c>
      <c r="O253" s="12" t="n">
        <v>0.0237963206254742</v>
      </c>
      <c r="P253" s="12" t="n">
        <v>0.085270148907949</v>
      </c>
      <c r="Q253" s="4" t="n">
        <f aca="false">RANK(N253,$N$7:$N$307,0)</f>
        <v>247</v>
      </c>
      <c r="R253" s="4" t="n">
        <f aca="false">RANK(O253,$O$7:$O$307,1)</f>
        <v>84</v>
      </c>
      <c r="S253" s="4" t="n">
        <f aca="false">RANK(J253,$J$7:$J$307,0)</f>
        <v>230</v>
      </c>
      <c r="T253" s="4" t="str">
        <f aca="false">IF(O253&lt;0.05,"YES","no")</f>
        <v>YES</v>
      </c>
      <c r="U253" s="4" t="str">
        <f aca="false">IF(P253&lt;0.05,"YES","no")</f>
        <v>no</v>
      </c>
      <c r="V253" s="4" t="str">
        <f aca="false">IF(N253&gt;1,"YES","no")</f>
        <v>no</v>
      </c>
    </row>
    <row r="254" customFormat="false" ht="15" hidden="false" customHeight="false" outlineLevel="0" collapsed="false">
      <c r="A254" s="4" t="s">
        <v>326</v>
      </c>
      <c r="B254" s="4"/>
      <c r="C254" s="4" t="s">
        <v>72</v>
      </c>
      <c r="D254" s="8" t="n">
        <v>209.09184</v>
      </c>
      <c r="E254" s="9" t="n">
        <v>9.133</v>
      </c>
      <c r="F254" s="10" t="n">
        <v>115210.251475214</v>
      </c>
      <c r="G254" s="10" t="n">
        <v>70422.3788677896</v>
      </c>
      <c r="H254" s="10" t="n">
        <v>215421.250143366</v>
      </c>
      <c r="I254" s="10" t="n">
        <v>49356.7474554284</v>
      </c>
      <c r="J254" s="10" t="n">
        <v>165315.75080929</v>
      </c>
      <c r="K254" s="11" t="n">
        <v>1.86980973815261</v>
      </c>
      <c r="L254" s="11" t="n">
        <v>0.902891476643103</v>
      </c>
      <c r="M254" s="11" t="n">
        <v>0.670043006262589</v>
      </c>
      <c r="N254" s="11" t="n">
        <v>0.0777478039006242</v>
      </c>
      <c r="O254" s="12" t="n">
        <v>0.0190426620214367</v>
      </c>
      <c r="P254" s="12" t="n">
        <v>0.0744394969928889</v>
      </c>
      <c r="Q254" s="4" t="n">
        <f aca="false">RANK(N254,$N$7:$N$307,0)</f>
        <v>248</v>
      </c>
      <c r="R254" s="4" t="n">
        <f aca="false">RANK(O254,$O$7:$O$307,1)</f>
        <v>77</v>
      </c>
      <c r="S254" s="4" t="n">
        <f aca="false">RANK(J254,$J$7:$J$307,0)</f>
        <v>261</v>
      </c>
      <c r="T254" s="4" t="str">
        <f aca="false">IF(O254&lt;0.05,"YES","no")</f>
        <v>YES</v>
      </c>
      <c r="U254" s="4" t="str">
        <f aca="false">IF(P254&lt;0.05,"YES","no")</f>
        <v>no</v>
      </c>
      <c r="V254" s="4" t="str">
        <f aca="false">IF(N254&gt;1,"YES","no")</f>
        <v>no</v>
      </c>
    </row>
    <row r="255" customFormat="false" ht="15" hidden="false" customHeight="false" outlineLevel="0" collapsed="false">
      <c r="A255" s="4" t="s">
        <v>370</v>
      </c>
      <c r="B255" s="4"/>
      <c r="C255" s="4" t="s">
        <v>72</v>
      </c>
      <c r="D255" s="8" t="n">
        <v>294.14495</v>
      </c>
      <c r="E255" s="9" t="n">
        <v>6.854</v>
      </c>
      <c r="F255" s="10" t="n">
        <v>53351.082497883</v>
      </c>
      <c r="G255" s="10" t="n">
        <v>35067.981365239</v>
      </c>
      <c r="H255" s="10" t="n">
        <v>155952.113561472</v>
      </c>
      <c r="I255" s="10" t="n">
        <v>88636.9649324389</v>
      </c>
      <c r="J255" s="10" t="n">
        <v>104651.598029678</v>
      </c>
      <c r="K255" s="11" t="n">
        <v>2.92312932109035</v>
      </c>
      <c r="L255" s="11" t="n">
        <v>1.54751365629712</v>
      </c>
      <c r="M255" s="11" t="n">
        <v>0.640372002967458</v>
      </c>
      <c r="N255" s="11" t="n">
        <v>0.0772667385424204</v>
      </c>
      <c r="O255" s="12" t="n">
        <v>0.0357948466102127</v>
      </c>
      <c r="P255" s="12" t="n">
        <v>0.103037598643019</v>
      </c>
      <c r="Q255" s="4" t="n">
        <f aca="false">RANK(N255,$N$7:$N$307,0)</f>
        <v>249</v>
      </c>
      <c r="R255" s="4" t="n">
        <f aca="false">RANK(O255,$O$7:$O$307,1)</f>
        <v>103</v>
      </c>
      <c r="S255" s="4" t="n">
        <f aca="false">RANK(J255,$J$7:$J$307,0)</f>
        <v>278</v>
      </c>
      <c r="T255" s="4" t="str">
        <f aca="false">IF(O255&lt;0.05,"YES","no")</f>
        <v>YES</v>
      </c>
      <c r="U255" s="4" t="str">
        <f aca="false">IF(P255&lt;0.05,"YES","no")</f>
        <v>no</v>
      </c>
      <c r="V255" s="4" t="str">
        <f aca="false">IF(N255&gt;1,"YES","no")</f>
        <v>no</v>
      </c>
    </row>
    <row r="256" customFormat="false" ht="15" hidden="false" customHeight="false" outlineLevel="0" collapsed="false">
      <c r="A256" s="4" t="s">
        <v>334</v>
      </c>
      <c r="B256" s="4"/>
      <c r="C256" s="4" t="s">
        <v>72</v>
      </c>
      <c r="D256" s="8" t="n">
        <v>425.04451</v>
      </c>
      <c r="E256" s="9" t="n">
        <v>12.572</v>
      </c>
      <c r="F256" s="10" t="n">
        <v>299939.843907909</v>
      </c>
      <c r="G256" s="10" t="n">
        <v>207236.268571886</v>
      </c>
      <c r="H256" s="10" t="n">
        <v>465180.262845588</v>
      </c>
      <c r="I256" s="10" t="n">
        <v>244750.872306833</v>
      </c>
      <c r="J256" s="10" t="n">
        <v>382560.053376748</v>
      </c>
      <c r="K256" s="11" t="n">
        <v>1.55091186547531</v>
      </c>
      <c r="L256" s="11" t="n">
        <v>0.633116703875953</v>
      </c>
      <c r="M256" s="11" t="n">
        <v>0.370676105033004</v>
      </c>
      <c r="N256" s="11" t="n">
        <v>0.0755488305495039</v>
      </c>
      <c r="O256" s="12" t="n">
        <v>0.236313368424043</v>
      </c>
      <c r="P256" s="12" t="n">
        <v>0.355651619478185</v>
      </c>
      <c r="Q256" s="4" t="n">
        <f aca="false">RANK(N256,$N$7:$N$307,0)</f>
        <v>250</v>
      </c>
      <c r="R256" s="4" t="n">
        <f aca="false">RANK(O256,$O$7:$O$307,1)</f>
        <v>200</v>
      </c>
      <c r="S256" s="4" t="n">
        <f aca="false">RANK(J256,$J$7:$J$307,0)</f>
        <v>221</v>
      </c>
      <c r="T256" s="4" t="str">
        <f aca="false">IF(O256&lt;0.05,"YES","no")</f>
        <v>no</v>
      </c>
      <c r="U256" s="4" t="str">
        <f aca="false">IF(P256&lt;0.05,"YES","no")</f>
        <v>no</v>
      </c>
      <c r="V256" s="4" t="str">
        <f aca="false">IF(N256&gt;1,"YES","no")</f>
        <v>no</v>
      </c>
    </row>
    <row r="257" customFormat="false" ht="15" hidden="false" customHeight="false" outlineLevel="0" collapsed="false">
      <c r="A257" s="4" t="s">
        <v>372</v>
      </c>
      <c r="B257" s="4"/>
      <c r="C257" s="4" t="s">
        <v>72</v>
      </c>
      <c r="D257" s="8" t="n">
        <v>243.06219</v>
      </c>
      <c r="E257" s="9" t="n">
        <v>9.435</v>
      </c>
      <c r="F257" s="10" t="n">
        <v>235502.841348053</v>
      </c>
      <c r="G257" s="10" t="n">
        <v>62443.9752568556</v>
      </c>
      <c r="H257" s="10" t="n">
        <v>336261.055173646</v>
      </c>
      <c r="I257" s="10" t="n">
        <v>87498.9727551418</v>
      </c>
      <c r="J257" s="10" t="n">
        <v>285881.94826085</v>
      </c>
      <c r="K257" s="11" t="n">
        <v>1.42784287972424</v>
      </c>
      <c r="L257" s="11" t="n">
        <v>0.513837233488872</v>
      </c>
      <c r="M257" s="11" t="n">
        <v>0.587523088842202</v>
      </c>
      <c r="N257" s="11" t="n">
        <v>0.0747098995639468</v>
      </c>
      <c r="O257" s="12" t="n">
        <v>0.047176108761234</v>
      </c>
      <c r="P257" s="12" t="n">
        <v>0.123478336844621</v>
      </c>
      <c r="Q257" s="4" t="n">
        <f aca="false">RANK(N257,$N$7:$N$307,0)</f>
        <v>251</v>
      </c>
      <c r="R257" s="4" t="n">
        <f aca="false">RANK(O257,$O$7:$O$307,1)</f>
        <v>115</v>
      </c>
      <c r="S257" s="4" t="n">
        <f aca="false">RANK(J257,$J$7:$J$307,0)</f>
        <v>237</v>
      </c>
      <c r="T257" s="4" t="str">
        <f aca="false">IF(O257&lt;0.05,"YES","no")</f>
        <v>YES</v>
      </c>
      <c r="U257" s="4" t="str">
        <f aca="false">IF(P257&lt;0.05,"YES","no")</f>
        <v>no</v>
      </c>
      <c r="V257" s="4" t="str">
        <f aca="false">IF(N257&gt;1,"YES","no")</f>
        <v>no</v>
      </c>
    </row>
    <row r="258" customFormat="false" ht="15" hidden="false" customHeight="false" outlineLevel="0" collapsed="false">
      <c r="A258" s="4" t="s">
        <v>242</v>
      </c>
      <c r="B258" s="4" t="s">
        <v>243</v>
      </c>
      <c r="C258" s="4" t="s">
        <v>72</v>
      </c>
      <c r="D258" s="8" t="n">
        <v>170.09233</v>
      </c>
      <c r="E258" s="9" t="n">
        <v>11.892</v>
      </c>
      <c r="F258" s="10" t="n">
        <v>3905107.32765411</v>
      </c>
      <c r="G258" s="10" t="n">
        <v>2623264.44571698</v>
      </c>
      <c r="H258" s="10" t="n">
        <v>3801955.00719663</v>
      </c>
      <c r="I258" s="10" t="n">
        <v>3759857.05527904</v>
      </c>
      <c r="J258" s="10" t="n">
        <v>3853531.16742537</v>
      </c>
      <c r="K258" s="11" t="n">
        <v>0.973585279019862</v>
      </c>
      <c r="L258" s="11" t="n">
        <v>-0.0386207407691677</v>
      </c>
      <c r="M258" s="11" t="n">
        <v>0.0174257932429325</v>
      </c>
      <c r="N258" s="11" t="n">
        <v>0.0744649940748465</v>
      </c>
      <c r="O258" s="12" t="n">
        <v>0.957260624928821</v>
      </c>
      <c r="P258" s="12" t="n">
        <v>0.96391750325733</v>
      </c>
      <c r="Q258" s="4" t="n">
        <f aca="false">RANK(N258,$N$7:$N$307,0)</f>
        <v>252</v>
      </c>
      <c r="R258" s="4" t="n">
        <f aca="false">RANK(O258,$O$7:$O$307,1)</f>
        <v>298</v>
      </c>
      <c r="S258" s="4" t="n">
        <f aca="false">RANK(J258,$J$7:$J$307,0)</f>
        <v>114</v>
      </c>
      <c r="T258" s="4" t="str">
        <f aca="false">IF(O258&lt;0.05,"YES","no")</f>
        <v>no</v>
      </c>
      <c r="U258" s="4" t="str">
        <f aca="false">IF(P258&lt;0.05,"YES","no")</f>
        <v>no</v>
      </c>
      <c r="V258" s="4" t="str">
        <f aca="false">IF(N258&gt;1,"YES","no")</f>
        <v>no</v>
      </c>
    </row>
    <row r="259" customFormat="false" ht="15" hidden="false" customHeight="false" outlineLevel="0" collapsed="false">
      <c r="A259" s="4" t="s">
        <v>361</v>
      </c>
      <c r="B259" s="4"/>
      <c r="C259" s="4" t="s">
        <v>72</v>
      </c>
      <c r="D259" s="8" t="n">
        <v>558.06488</v>
      </c>
      <c r="E259" s="9" t="n">
        <v>8.226</v>
      </c>
      <c r="F259" s="10" t="n">
        <v>76730.1787706148</v>
      </c>
      <c r="G259" s="10" t="n">
        <v>107178.406756366</v>
      </c>
      <c r="H259" s="10" t="n">
        <v>58546.9531520036</v>
      </c>
      <c r="I259" s="10" t="n">
        <v>50271.445690566</v>
      </c>
      <c r="J259" s="10" t="n">
        <v>67638.5659613092</v>
      </c>
      <c r="K259" s="11" t="n">
        <v>0.763023807451693</v>
      </c>
      <c r="L259" s="11" t="n">
        <v>-0.390200022943347</v>
      </c>
      <c r="M259" s="11" t="n">
        <v>0.118142627195627</v>
      </c>
      <c r="N259" s="11" t="n">
        <v>0.0737225880200295</v>
      </c>
      <c r="O259" s="12" t="n">
        <v>0.717735639018542</v>
      </c>
      <c r="P259" s="12" t="n">
        <v>0.80611353486784</v>
      </c>
      <c r="Q259" s="4" t="n">
        <f aca="false">RANK(N259,$N$7:$N$307,0)</f>
        <v>253</v>
      </c>
      <c r="R259" s="4" t="n">
        <f aca="false">RANK(O259,$O$7:$O$307,1)</f>
        <v>268</v>
      </c>
      <c r="S259" s="4" t="n">
        <f aca="false">RANK(J259,$J$7:$J$307,0)</f>
        <v>287</v>
      </c>
      <c r="T259" s="4" t="str">
        <f aca="false">IF(O259&lt;0.05,"YES","no")</f>
        <v>no</v>
      </c>
      <c r="U259" s="4" t="str">
        <f aca="false">IF(P259&lt;0.05,"YES","no")</f>
        <v>no</v>
      </c>
      <c r="V259" s="4" t="str">
        <f aca="false">IF(N259&gt;1,"YES","no")</f>
        <v>no</v>
      </c>
    </row>
    <row r="260" customFormat="false" ht="15" hidden="false" customHeight="false" outlineLevel="0" collapsed="false">
      <c r="A260" s="4" t="s">
        <v>367</v>
      </c>
      <c r="B260" s="4"/>
      <c r="C260" s="4" t="s">
        <v>72</v>
      </c>
      <c r="D260" s="8" t="n">
        <v>227.11376</v>
      </c>
      <c r="E260" s="9" t="n">
        <v>9.443</v>
      </c>
      <c r="F260" s="10" t="n">
        <v>137899.615759158</v>
      </c>
      <c r="G260" s="10" t="n">
        <v>73354.9915100624</v>
      </c>
      <c r="H260" s="10" t="n">
        <v>217885.426634619</v>
      </c>
      <c r="I260" s="10" t="n">
        <v>92358.6815866945</v>
      </c>
      <c r="J260" s="10" t="n">
        <v>177892.521196889</v>
      </c>
      <c r="K260" s="11" t="n">
        <v>1.58002925124285</v>
      </c>
      <c r="L260" s="11" t="n">
        <v>0.659951267410201</v>
      </c>
      <c r="M260" s="11" t="n">
        <v>0.465042707510059</v>
      </c>
      <c r="N260" s="11" t="n">
        <v>0.0716547087609498</v>
      </c>
      <c r="O260" s="12" t="n">
        <v>0.129229807591299</v>
      </c>
      <c r="P260" s="12" t="n">
        <v>0.226152163284773</v>
      </c>
      <c r="Q260" s="4" t="n">
        <f aca="false">RANK(N260,$N$7:$N$307,0)</f>
        <v>254</v>
      </c>
      <c r="R260" s="4" t="n">
        <f aca="false">RANK(O260,$O$7:$O$307,1)</f>
        <v>172</v>
      </c>
      <c r="S260" s="4" t="n">
        <f aca="false">RANK(J260,$J$7:$J$307,0)</f>
        <v>260</v>
      </c>
      <c r="T260" s="4" t="str">
        <f aca="false">IF(O260&lt;0.05,"YES","no")</f>
        <v>no</v>
      </c>
      <c r="U260" s="4" t="str">
        <f aca="false">IF(P260&lt;0.05,"YES","no")</f>
        <v>no</v>
      </c>
      <c r="V260" s="4" t="str">
        <f aca="false">IF(N260&gt;1,"YES","no")</f>
        <v>no</v>
      </c>
    </row>
    <row r="261" customFormat="false" ht="15" hidden="false" customHeight="false" outlineLevel="0" collapsed="false">
      <c r="A261" s="4" t="s">
        <v>331</v>
      </c>
      <c r="B261" s="4"/>
      <c r="C261" s="4" t="s">
        <v>72</v>
      </c>
      <c r="D261" s="8" t="n">
        <v>251.07857</v>
      </c>
      <c r="E261" s="9" t="n">
        <v>8.282</v>
      </c>
      <c r="F261" s="10" t="n">
        <v>79240.9384725091</v>
      </c>
      <c r="G261" s="10" t="n">
        <v>88678.2601203372</v>
      </c>
      <c r="H261" s="10" t="n">
        <v>62964.3059925363</v>
      </c>
      <c r="I261" s="10" t="n">
        <v>11856.487926743</v>
      </c>
      <c r="J261" s="10" t="n">
        <v>71102.6222325228</v>
      </c>
      <c r="K261" s="11" t="n">
        <v>0.794593138424028</v>
      </c>
      <c r="L261" s="11" t="n">
        <v>-0.331711759558971</v>
      </c>
      <c r="M261" s="11" t="n">
        <v>0.139542182630675</v>
      </c>
      <c r="N261" s="11" t="n">
        <v>0.0714181871299056</v>
      </c>
      <c r="O261" s="12" t="n">
        <v>0.673878496578226</v>
      </c>
      <c r="P261" s="12" t="n">
        <v>0.76832358890169</v>
      </c>
      <c r="Q261" s="4" t="n">
        <f aca="false">RANK(N261,$N$7:$N$307,0)</f>
        <v>255</v>
      </c>
      <c r="R261" s="4" t="n">
        <f aca="false">RANK(O261,$O$7:$O$307,1)</f>
        <v>264</v>
      </c>
      <c r="S261" s="4" t="n">
        <f aca="false">RANK(J261,$J$7:$J$307,0)</f>
        <v>284</v>
      </c>
      <c r="T261" s="4" t="str">
        <f aca="false">IF(O261&lt;0.05,"YES","no")</f>
        <v>no</v>
      </c>
      <c r="U261" s="4" t="str">
        <f aca="false">IF(P261&lt;0.05,"YES","no")</f>
        <v>no</v>
      </c>
      <c r="V261" s="4" t="str">
        <f aca="false">IF(N261&gt;1,"YES","no")</f>
        <v>no</v>
      </c>
    </row>
    <row r="262" customFormat="false" ht="15" hidden="false" customHeight="false" outlineLevel="0" collapsed="false">
      <c r="A262" s="4" t="s">
        <v>368</v>
      </c>
      <c r="B262" s="4"/>
      <c r="C262" s="4" t="s">
        <v>61</v>
      </c>
      <c r="D262" s="8" t="n">
        <v>523.99823</v>
      </c>
      <c r="E262" s="9" t="n">
        <v>11.169</v>
      </c>
      <c r="F262" s="10" t="n">
        <v>119401.127980295</v>
      </c>
      <c r="G262" s="10" t="n">
        <v>34433.5480719683</v>
      </c>
      <c r="H262" s="10" t="n">
        <v>204344.693215748</v>
      </c>
      <c r="I262" s="10" t="n">
        <v>66423.9521274324</v>
      </c>
      <c r="J262" s="10" t="n">
        <v>161872.910598021</v>
      </c>
      <c r="K262" s="11" t="n">
        <v>1.71141342357731</v>
      </c>
      <c r="L262" s="11" t="n">
        <v>0.775188311608688</v>
      </c>
      <c r="M262" s="11" t="n">
        <v>0.660382977073161</v>
      </c>
      <c r="N262" s="11" t="n">
        <v>0.0712372688955007</v>
      </c>
      <c r="O262" s="12" t="n">
        <v>0.0254236185659273</v>
      </c>
      <c r="P262" s="12" t="n">
        <v>0.0879598757280934</v>
      </c>
      <c r="Q262" s="4" t="n">
        <f aca="false">RANK(N262,$N$7:$N$307,0)</f>
        <v>256</v>
      </c>
      <c r="R262" s="4" t="n">
        <f aca="false">RANK(O262,$O$7:$O$307,1)</f>
        <v>87</v>
      </c>
      <c r="S262" s="4" t="n">
        <f aca="false">RANK(J262,$J$7:$J$307,0)</f>
        <v>263</v>
      </c>
      <c r="T262" s="4" t="str">
        <f aca="false">IF(O262&lt;0.05,"YES","no")</f>
        <v>YES</v>
      </c>
      <c r="U262" s="4" t="str">
        <f aca="false">IF(P262&lt;0.05,"YES","no")</f>
        <v>no</v>
      </c>
      <c r="V262" s="4" t="str">
        <f aca="false">IF(N262&gt;1,"YES","no")</f>
        <v>no</v>
      </c>
    </row>
    <row r="263" customFormat="false" ht="15" hidden="false" customHeight="false" outlineLevel="0" collapsed="false">
      <c r="A263" s="4" t="s">
        <v>369</v>
      </c>
      <c r="B263" s="4"/>
      <c r="C263" s="4" t="s">
        <v>72</v>
      </c>
      <c r="D263" s="8" t="n">
        <v>232.14043</v>
      </c>
      <c r="E263" s="9" t="n">
        <v>12.361</v>
      </c>
      <c r="F263" s="10" t="n">
        <v>203933.426010462</v>
      </c>
      <c r="G263" s="10" t="n">
        <v>99962.2157822173</v>
      </c>
      <c r="H263" s="10" t="n">
        <v>286492.50716933</v>
      </c>
      <c r="I263" s="10" t="n">
        <v>104792.793983548</v>
      </c>
      <c r="J263" s="10" t="n">
        <v>245212.966589896</v>
      </c>
      <c r="K263" s="11" t="n">
        <v>1.40483349284111</v>
      </c>
      <c r="L263" s="11" t="n">
        <v>0.49039914589975</v>
      </c>
      <c r="M263" s="11" t="n">
        <v>0.403941955763467</v>
      </c>
      <c r="N263" s="11" t="n">
        <v>0.0696380908786481</v>
      </c>
      <c r="O263" s="12" t="n">
        <v>0.192889198484301</v>
      </c>
      <c r="P263" s="12" t="n">
        <v>0.305577098651445</v>
      </c>
      <c r="Q263" s="4" t="n">
        <f aca="false">RANK(N263,$N$7:$N$307,0)</f>
        <v>257</v>
      </c>
      <c r="R263" s="4" t="n">
        <f aca="false">RANK(O263,$O$7:$O$307,1)</f>
        <v>190</v>
      </c>
      <c r="S263" s="4" t="n">
        <f aca="false">RANK(J263,$J$7:$J$307,0)</f>
        <v>245</v>
      </c>
      <c r="T263" s="4" t="str">
        <f aca="false">IF(O263&lt;0.05,"YES","no")</f>
        <v>no</v>
      </c>
      <c r="U263" s="4" t="str">
        <f aca="false">IF(P263&lt;0.05,"YES","no")</f>
        <v>no</v>
      </c>
      <c r="V263" s="4" t="str">
        <f aca="false">IF(N263&gt;1,"YES","no")</f>
        <v>no</v>
      </c>
    </row>
    <row r="264" customFormat="false" ht="15" hidden="false" customHeight="false" outlineLevel="0" collapsed="false">
      <c r="A264" s="4" t="s">
        <v>357</v>
      </c>
      <c r="B264" s="4" t="s">
        <v>358</v>
      </c>
      <c r="C264" s="4" t="s">
        <v>72</v>
      </c>
      <c r="D264" s="8" t="n">
        <v>588.07507</v>
      </c>
      <c r="E264" s="9" t="n">
        <v>10.17</v>
      </c>
      <c r="F264" s="10" t="n">
        <v>196170.160235784</v>
      </c>
      <c r="G264" s="10" t="n">
        <v>78081.9573453752</v>
      </c>
      <c r="H264" s="10" t="n">
        <v>282609.621666966</v>
      </c>
      <c r="I264" s="10" t="n">
        <v>71727.1957274404</v>
      </c>
      <c r="J264" s="10" t="n">
        <v>239389.890951375</v>
      </c>
      <c r="K264" s="11" t="n">
        <v>1.44063511661145</v>
      </c>
      <c r="L264" s="11" t="n">
        <v>0.526704976654462</v>
      </c>
      <c r="M264" s="11" t="n">
        <v>0.533945794610886</v>
      </c>
      <c r="N264" s="11" t="n">
        <v>0.0678454791066263</v>
      </c>
      <c r="O264" s="12" t="n">
        <v>0.0739624010359733</v>
      </c>
      <c r="P264" s="12" t="n">
        <v>0.161323787766869</v>
      </c>
      <c r="Q264" s="4" t="n">
        <f aca="false">RANK(N264,$N$7:$N$307,0)</f>
        <v>258</v>
      </c>
      <c r="R264" s="4" t="n">
        <f aca="false">RANK(O264,$O$7:$O$307,1)</f>
        <v>138</v>
      </c>
      <c r="S264" s="4" t="n">
        <f aca="false">RANK(J264,$J$7:$J$307,0)</f>
        <v>248</v>
      </c>
      <c r="T264" s="4" t="str">
        <f aca="false">IF(O264&lt;0.05,"YES","no")</f>
        <v>no</v>
      </c>
      <c r="U264" s="4" t="str">
        <f aca="false">IF(P264&lt;0.05,"YES","no")</f>
        <v>no</v>
      </c>
      <c r="V264" s="4" t="str">
        <f aca="false">IF(N264&gt;1,"YES","no")</f>
        <v>no</v>
      </c>
    </row>
    <row r="265" customFormat="false" ht="15" hidden="false" customHeight="false" outlineLevel="0" collapsed="false">
      <c r="A265" s="4" t="s">
        <v>323</v>
      </c>
      <c r="B265" s="4" t="s">
        <v>324</v>
      </c>
      <c r="C265" s="4" t="s">
        <v>72</v>
      </c>
      <c r="D265" s="8" t="n">
        <v>489.11475</v>
      </c>
      <c r="E265" s="9" t="n">
        <v>10.202</v>
      </c>
      <c r="F265" s="10" t="n">
        <v>2441924.13914433</v>
      </c>
      <c r="G265" s="10" t="n">
        <v>987467.248483482</v>
      </c>
      <c r="H265" s="10" t="n">
        <v>2687634.28289249</v>
      </c>
      <c r="I265" s="10" t="n">
        <v>2152595.20194059</v>
      </c>
      <c r="J265" s="10" t="n">
        <v>2564779.21101841</v>
      </c>
      <c r="K265" s="11" t="n">
        <v>1.10062153029629</v>
      </c>
      <c r="L265" s="11" t="n">
        <v>0.138318455974966</v>
      </c>
      <c r="M265" s="11" t="n">
        <v>0.0801064415036709</v>
      </c>
      <c r="N265" s="11" t="n">
        <v>0.0674671798598037</v>
      </c>
      <c r="O265" s="12" t="n">
        <v>0.806678983636977</v>
      </c>
      <c r="P265" s="12" t="n">
        <v>0.8829468148172</v>
      </c>
      <c r="Q265" s="4" t="n">
        <f aca="false">RANK(N265,$N$7:$N$307,0)</f>
        <v>259</v>
      </c>
      <c r="R265" s="4" t="n">
        <f aca="false">RANK(O265,$O$7:$O$307,1)</f>
        <v>275</v>
      </c>
      <c r="S265" s="4" t="n">
        <f aca="false">RANK(J265,$J$7:$J$307,0)</f>
        <v>131</v>
      </c>
      <c r="T265" s="4" t="str">
        <f aca="false">IF(O265&lt;0.05,"YES","no")</f>
        <v>no</v>
      </c>
      <c r="U265" s="4" t="str">
        <f aca="false">IF(P265&lt;0.05,"YES","no")</f>
        <v>no</v>
      </c>
      <c r="V265" s="4" t="str">
        <f aca="false">IF(N265&gt;1,"YES","no")</f>
        <v>no</v>
      </c>
    </row>
    <row r="266" customFormat="false" ht="15" hidden="false" customHeight="false" outlineLevel="0" collapsed="false">
      <c r="A266" s="4" t="s">
        <v>348</v>
      </c>
      <c r="B266" s="4"/>
      <c r="C266" s="4" t="s">
        <v>61</v>
      </c>
      <c r="D266" s="8" t="n">
        <v>742.06864</v>
      </c>
      <c r="E266" s="9" t="n">
        <v>10.04</v>
      </c>
      <c r="F266" s="10" t="n">
        <v>224396.979006245</v>
      </c>
      <c r="G266" s="10" t="n">
        <v>122099.24895991</v>
      </c>
      <c r="H266" s="10" t="n">
        <v>165483.66480038</v>
      </c>
      <c r="I266" s="10" t="n">
        <v>145320.139103894</v>
      </c>
      <c r="J266" s="10" t="n">
        <v>194940.321903312</v>
      </c>
      <c r="K266" s="11" t="n">
        <v>0.737459414708853</v>
      </c>
      <c r="L266" s="11" t="n">
        <v>-0.439364440521344</v>
      </c>
      <c r="M266" s="11" t="n">
        <v>0.233763862492039</v>
      </c>
      <c r="N266" s="11" t="n">
        <v>0.0671484274078722</v>
      </c>
      <c r="O266" s="12" t="n">
        <v>0.465137974380729</v>
      </c>
      <c r="P266" s="12" t="n">
        <v>0.571948423567454</v>
      </c>
      <c r="Q266" s="4" t="n">
        <f aca="false">RANK(N266,$N$7:$N$307,0)</f>
        <v>260</v>
      </c>
      <c r="R266" s="4" t="n">
        <f aca="false">RANK(O266,$O$7:$O$307,1)</f>
        <v>244</v>
      </c>
      <c r="S266" s="4" t="n">
        <f aca="false">RANK(J266,$J$7:$J$307,0)</f>
        <v>256</v>
      </c>
      <c r="T266" s="4" t="str">
        <f aca="false">IF(O266&lt;0.05,"YES","no")</f>
        <v>no</v>
      </c>
      <c r="U266" s="4" t="str">
        <f aca="false">IF(P266&lt;0.05,"YES","no")</f>
        <v>no</v>
      </c>
      <c r="V266" s="4" t="str">
        <f aca="false">IF(N266&gt;1,"YES","no")</f>
        <v>no</v>
      </c>
    </row>
    <row r="267" customFormat="false" ht="15" hidden="false" customHeight="false" outlineLevel="0" collapsed="false">
      <c r="A267" s="4" t="s">
        <v>340</v>
      </c>
      <c r="B267" s="4"/>
      <c r="C267" s="4" t="s">
        <v>72</v>
      </c>
      <c r="D267" s="8" t="n">
        <v>118.04975</v>
      </c>
      <c r="E267" s="9" t="n">
        <v>7.787</v>
      </c>
      <c r="F267" s="10" t="n">
        <v>191290.391016187</v>
      </c>
      <c r="G267" s="10" t="n">
        <v>52549.0369184166</v>
      </c>
      <c r="H267" s="10" t="n">
        <v>263676.428273073</v>
      </c>
      <c r="I267" s="10" t="n">
        <v>80027.7124554424</v>
      </c>
      <c r="J267" s="10" t="n">
        <v>227483.40964463</v>
      </c>
      <c r="K267" s="11" t="n">
        <v>1.37840916562694</v>
      </c>
      <c r="L267" s="11" t="n">
        <v>0.463004199798373</v>
      </c>
      <c r="M267" s="11" t="n">
        <v>0.505367212254971</v>
      </c>
      <c r="N267" s="11" t="n">
        <v>0.0661819356115081</v>
      </c>
      <c r="O267" s="12" t="n">
        <v>0.0984317248384079</v>
      </c>
      <c r="P267" s="12" t="n">
        <v>0.193646726642881</v>
      </c>
      <c r="Q267" s="4" t="n">
        <f aca="false">RANK(N267,$N$7:$N$307,0)</f>
        <v>261</v>
      </c>
      <c r="R267" s="4" t="n">
        <f aca="false">RANK(O267,$O$7:$O$307,1)</f>
        <v>153</v>
      </c>
      <c r="S267" s="4" t="n">
        <f aca="false">RANK(J267,$J$7:$J$307,0)</f>
        <v>252</v>
      </c>
      <c r="T267" s="4" t="str">
        <f aca="false">IF(O267&lt;0.05,"YES","no")</f>
        <v>no</v>
      </c>
      <c r="U267" s="4" t="str">
        <f aca="false">IF(P267&lt;0.05,"YES","no")</f>
        <v>no</v>
      </c>
      <c r="V267" s="4" t="str">
        <f aca="false">IF(N267&gt;1,"YES","no")</f>
        <v>no</v>
      </c>
    </row>
    <row r="268" customFormat="false" ht="15" hidden="false" customHeight="false" outlineLevel="0" collapsed="false">
      <c r="A268" s="4" t="s">
        <v>344</v>
      </c>
      <c r="B268" s="4"/>
      <c r="C268" s="4" t="s">
        <v>72</v>
      </c>
      <c r="D268" s="8" t="n">
        <v>206.08088</v>
      </c>
      <c r="E268" s="9" t="n">
        <v>6.826</v>
      </c>
      <c r="F268" s="10" t="n">
        <v>210200.687151304</v>
      </c>
      <c r="G268" s="10" t="n">
        <v>86490.9389124247</v>
      </c>
      <c r="H268" s="10" t="n">
        <v>298940.187877417</v>
      </c>
      <c r="I268" s="10" t="n">
        <v>133159.389265954</v>
      </c>
      <c r="J268" s="10" t="n">
        <v>254570.43751436</v>
      </c>
      <c r="K268" s="11" t="n">
        <v>1.42216560720488</v>
      </c>
      <c r="L268" s="11" t="n">
        <v>0.508089472539499</v>
      </c>
      <c r="M268" s="11" t="n">
        <v>0.397272965727831</v>
      </c>
      <c r="N268" s="11" t="n">
        <v>0.064992068059894</v>
      </c>
      <c r="O268" s="12" t="n">
        <v>0.205773588669193</v>
      </c>
      <c r="P268" s="12" t="n">
        <v>0.322869994223565</v>
      </c>
      <c r="Q268" s="4" t="n">
        <f aca="false">RANK(N268,$N$7:$N$307,0)</f>
        <v>262</v>
      </c>
      <c r="R268" s="4" t="n">
        <f aca="false">RANK(O268,$O$7:$O$307,1)</f>
        <v>191</v>
      </c>
      <c r="S268" s="4" t="n">
        <f aca="false">RANK(J268,$J$7:$J$307,0)</f>
        <v>242</v>
      </c>
      <c r="T268" s="4" t="str">
        <f aca="false">IF(O268&lt;0.05,"YES","no")</f>
        <v>no</v>
      </c>
      <c r="U268" s="4" t="str">
        <f aca="false">IF(P268&lt;0.05,"YES","no")</f>
        <v>no</v>
      </c>
      <c r="V268" s="4" t="str">
        <f aca="false">IF(N268&gt;1,"YES","no")</f>
        <v>no</v>
      </c>
    </row>
    <row r="269" customFormat="false" ht="15" hidden="false" customHeight="false" outlineLevel="0" collapsed="false">
      <c r="A269" s="4" t="s">
        <v>363</v>
      </c>
      <c r="B269" s="4"/>
      <c r="C269" s="4" t="s">
        <v>72</v>
      </c>
      <c r="D269" s="8" t="n">
        <v>181.07174</v>
      </c>
      <c r="E269" s="9" t="n">
        <v>10.505</v>
      </c>
      <c r="F269" s="10" t="n">
        <v>512562.098358749</v>
      </c>
      <c r="G269" s="10" t="n">
        <v>218387.618772784</v>
      </c>
      <c r="H269" s="10" t="n">
        <v>650139.255849118</v>
      </c>
      <c r="I269" s="10" t="n">
        <v>266156.495038118</v>
      </c>
      <c r="J269" s="10" t="n">
        <v>581350.677103933</v>
      </c>
      <c r="K269" s="11" t="n">
        <v>1.26841071146481</v>
      </c>
      <c r="L269" s="11" t="n">
        <v>0.343021965865582</v>
      </c>
      <c r="M269" s="11" t="n">
        <v>0.295689505120562</v>
      </c>
      <c r="N269" s="11" t="n">
        <v>0.0633678231426783</v>
      </c>
      <c r="O269" s="12" t="n">
        <v>0.351610595125235</v>
      </c>
      <c r="P269" s="12" t="n">
        <v>0.474595466962761</v>
      </c>
      <c r="Q269" s="4" t="n">
        <f aca="false">RANK(N269,$N$7:$N$307,0)</f>
        <v>263</v>
      </c>
      <c r="R269" s="4" t="n">
        <f aca="false">RANK(O269,$O$7:$O$307,1)</f>
        <v>223</v>
      </c>
      <c r="S269" s="4" t="n">
        <f aca="false">RANK(J269,$J$7:$J$307,0)</f>
        <v>201</v>
      </c>
      <c r="T269" s="4" t="str">
        <f aca="false">IF(O269&lt;0.05,"YES","no")</f>
        <v>no</v>
      </c>
      <c r="U269" s="4" t="str">
        <f aca="false">IF(P269&lt;0.05,"YES","no")</f>
        <v>no</v>
      </c>
      <c r="V269" s="4" t="str">
        <f aca="false">IF(N269&gt;1,"YES","no")</f>
        <v>no</v>
      </c>
    </row>
    <row r="270" customFormat="false" ht="15" hidden="false" customHeight="false" outlineLevel="0" collapsed="false">
      <c r="A270" s="4" t="s">
        <v>393</v>
      </c>
      <c r="B270" s="4"/>
      <c r="C270" s="4" t="s">
        <v>72</v>
      </c>
      <c r="D270" s="8" t="n">
        <v>341.10859</v>
      </c>
      <c r="E270" s="9" t="n">
        <v>12.088</v>
      </c>
      <c r="F270" s="10" t="n">
        <v>44997.8187396382</v>
      </c>
      <c r="G270" s="10" t="n">
        <v>10997.5366262339</v>
      </c>
      <c r="H270" s="10" t="n">
        <v>91826.1796689024</v>
      </c>
      <c r="I270" s="10" t="n">
        <v>22829.3329712926</v>
      </c>
      <c r="J270" s="10" t="n">
        <v>68411.9992042703</v>
      </c>
      <c r="K270" s="11" t="n">
        <v>2.0406806872177</v>
      </c>
      <c r="L270" s="11" t="n">
        <v>1.02905045625252</v>
      </c>
      <c r="M270" s="11" t="n">
        <v>0.819772981167429</v>
      </c>
      <c r="N270" s="11" t="n">
        <v>0.0604845135263507</v>
      </c>
      <c r="O270" s="12" t="n">
        <v>0.00252263959058087</v>
      </c>
      <c r="P270" s="12" t="n">
        <v>0.0313148539861851</v>
      </c>
      <c r="Q270" s="4" t="n">
        <f aca="false">RANK(N270,$N$7:$N$307,0)</f>
        <v>264</v>
      </c>
      <c r="R270" s="4" t="n">
        <f aca="false">RANK(O270,$O$7:$O$307,1)</f>
        <v>24</v>
      </c>
      <c r="S270" s="4" t="n">
        <f aca="false">RANK(J270,$J$7:$J$307,0)</f>
        <v>286</v>
      </c>
      <c r="T270" s="4" t="str">
        <f aca="false">IF(O270&lt;0.05,"YES","no")</f>
        <v>YES</v>
      </c>
      <c r="U270" s="4" t="str">
        <f aca="false">IF(P270&lt;0.05,"YES","no")</f>
        <v>YES</v>
      </c>
      <c r="V270" s="4" t="str">
        <f aca="false">IF(N270&gt;1,"YES","no")</f>
        <v>no</v>
      </c>
    </row>
    <row r="271" customFormat="false" ht="15" hidden="false" customHeight="false" outlineLevel="0" collapsed="false">
      <c r="A271" s="4" t="s">
        <v>302</v>
      </c>
      <c r="B271" s="4"/>
      <c r="C271" s="4" t="s">
        <v>61</v>
      </c>
      <c r="D271" s="8" t="n">
        <v>173.08244</v>
      </c>
      <c r="E271" s="9" t="n">
        <v>8.269</v>
      </c>
      <c r="F271" s="10" t="n">
        <v>456856.271525021</v>
      </c>
      <c r="G271" s="10" t="n">
        <v>592048.40438067</v>
      </c>
      <c r="H271" s="10" t="n">
        <v>639606.347949027</v>
      </c>
      <c r="I271" s="10" t="n">
        <v>385139.394426262</v>
      </c>
      <c r="J271" s="10" t="n">
        <v>548231.309737024</v>
      </c>
      <c r="K271" s="11" t="n">
        <v>1.4000165649778</v>
      </c>
      <c r="L271" s="11" t="n">
        <v>0.485443897220205</v>
      </c>
      <c r="M271" s="11" t="n">
        <v>0.196514505399979</v>
      </c>
      <c r="N271" s="11" t="n">
        <v>0.0574029876200454</v>
      </c>
      <c r="O271" s="12" t="n">
        <v>0.542723637378642</v>
      </c>
      <c r="P271" s="12" t="n">
        <v>0.638124276761606</v>
      </c>
      <c r="Q271" s="4" t="n">
        <f aca="false">RANK(N271,$N$7:$N$307,0)</f>
        <v>265</v>
      </c>
      <c r="R271" s="4" t="n">
        <f aca="false">RANK(O271,$O$7:$O$307,1)</f>
        <v>256</v>
      </c>
      <c r="S271" s="4" t="n">
        <f aca="false">RANK(J271,$J$7:$J$307,0)</f>
        <v>205</v>
      </c>
      <c r="T271" s="4" t="str">
        <f aca="false">IF(O271&lt;0.05,"YES","no")</f>
        <v>no</v>
      </c>
      <c r="U271" s="4" t="str">
        <f aca="false">IF(P271&lt;0.05,"YES","no")</f>
        <v>no</v>
      </c>
      <c r="V271" s="4" t="str">
        <f aca="false">IF(N271&gt;1,"YES","no")</f>
        <v>no</v>
      </c>
    </row>
    <row r="272" customFormat="false" ht="15" hidden="false" customHeight="false" outlineLevel="0" collapsed="false">
      <c r="A272" s="4" t="s">
        <v>382</v>
      </c>
      <c r="B272" s="4"/>
      <c r="C272" s="4" t="s">
        <v>72</v>
      </c>
      <c r="D272" s="8" t="n">
        <v>416.21393</v>
      </c>
      <c r="E272" s="9" t="n">
        <v>5.02</v>
      </c>
      <c r="F272" s="10" t="n">
        <v>351477.565264772</v>
      </c>
      <c r="G272" s="10" t="n">
        <v>113999.303621152</v>
      </c>
      <c r="H272" s="10" t="n">
        <v>338071.941872536</v>
      </c>
      <c r="I272" s="10" t="n">
        <v>255509.553155616</v>
      </c>
      <c r="J272" s="10" t="n">
        <v>344774.753568654</v>
      </c>
      <c r="K272" s="11" t="n">
        <v>0.961859234508645</v>
      </c>
      <c r="L272" s="11" t="n">
        <v>-0.0561023199521366</v>
      </c>
      <c r="M272" s="11" t="n">
        <v>0.0370881894901116</v>
      </c>
      <c r="N272" s="11" t="n">
        <v>0.0573736775562887</v>
      </c>
      <c r="O272" s="12" t="n">
        <v>0.909907845461714</v>
      </c>
      <c r="P272" s="12" t="n">
        <v>0.950980074597139</v>
      </c>
      <c r="Q272" s="4" t="n">
        <f aca="false">RANK(N272,$N$7:$N$307,0)</f>
        <v>266</v>
      </c>
      <c r="R272" s="4" t="n">
        <f aca="false">RANK(O272,$O$7:$O$307,1)</f>
        <v>288</v>
      </c>
      <c r="S272" s="4" t="n">
        <f aca="false">RANK(J272,$J$7:$J$307,0)</f>
        <v>227</v>
      </c>
      <c r="T272" s="4" t="str">
        <f aca="false">IF(O272&lt;0.05,"YES","no")</f>
        <v>no</v>
      </c>
      <c r="U272" s="4" t="str">
        <f aca="false">IF(P272&lt;0.05,"YES","no")</f>
        <v>no</v>
      </c>
      <c r="V272" s="4" t="str">
        <f aca="false">IF(N272&gt;1,"YES","no")</f>
        <v>no</v>
      </c>
    </row>
    <row r="273" customFormat="false" ht="15" hidden="false" customHeight="false" outlineLevel="0" collapsed="false">
      <c r="A273" s="4" t="s">
        <v>254</v>
      </c>
      <c r="B273" s="4"/>
      <c r="C273" s="4" t="s">
        <v>61</v>
      </c>
      <c r="D273" s="8" t="n">
        <v>565.04835</v>
      </c>
      <c r="E273" s="9" t="n">
        <v>9.395</v>
      </c>
      <c r="F273" s="10" t="n">
        <v>3086905.85559487</v>
      </c>
      <c r="G273" s="10" t="n">
        <v>779297.478341887</v>
      </c>
      <c r="H273" s="10" t="n">
        <v>2861690.44208655</v>
      </c>
      <c r="I273" s="10" t="n">
        <v>1984259.15986137</v>
      </c>
      <c r="J273" s="10" t="n">
        <v>2974298.14884071</v>
      </c>
      <c r="K273" s="11" t="n">
        <v>0.927041696752712</v>
      </c>
      <c r="L273" s="11" t="n">
        <v>-0.109293864617475</v>
      </c>
      <c r="M273" s="11" t="n">
        <v>0.0815599843781852</v>
      </c>
      <c r="N273" s="11" t="n">
        <v>0.0570436248763074</v>
      </c>
      <c r="O273" s="12" t="n">
        <v>0.803800763641929</v>
      </c>
      <c r="P273" s="12" t="n">
        <v>0.8829468148172</v>
      </c>
      <c r="Q273" s="4" t="n">
        <f aca="false">RANK(N273,$N$7:$N$307,0)</f>
        <v>267</v>
      </c>
      <c r="R273" s="4" t="n">
        <f aca="false">RANK(O273,$O$7:$O$307,1)</f>
        <v>274</v>
      </c>
      <c r="S273" s="4" t="n">
        <f aca="false">RANK(J273,$J$7:$J$307,0)</f>
        <v>123</v>
      </c>
      <c r="T273" s="4" t="str">
        <f aca="false">IF(O273&lt;0.05,"YES","no")</f>
        <v>no</v>
      </c>
      <c r="U273" s="4" t="str">
        <f aca="false">IF(P273&lt;0.05,"YES","no")</f>
        <v>no</v>
      </c>
      <c r="V273" s="4" t="str">
        <f aca="false">IF(N273&gt;1,"YES","no")</f>
        <v>no</v>
      </c>
    </row>
    <row r="274" customFormat="false" ht="15" hidden="false" customHeight="false" outlineLevel="0" collapsed="false">
      <c r="A274" s="4" t="s">
        <v>379</v>
      </c>
      <c r="B274" s="4"/>
      <c r="C274" s="4" t="s">
        <v>72</v>
      </c>
      <c r="D274" s="8" t="n">
        <v>167.99732</v>
      </c>
      <c r="E274" s="9" t="n">
        <v>9.683</v>
      </c>
      <c r="F274" s="10" t="n">
        <v>101996.85645188</v>
      </c>
      <c r="G274" s="10" t="n">
        <v>50088.2260359001</v>
      </c>
      <c r="H274" s="10" t="n">
        <v>160145.474056075</v>
      </c>
      <c r="I274" s="10" t="n">
        <v>68999.2325467131</v>
      </c>
      <c r="J274" s="10" t="n">
        <v>131071.165253978</v>
      </c>
      <c r="K274" s="11" t="n">
        <v>1.57010205634749</v>
      </c>
      <c r="L274" s="11" t="n">
        <v>0.650858337079413</v>
      </c>
      <c r="M274" s="11" t="n">
        <v>0.46709907108335</v>
      </c>
      <c r="N274" s="11" t="n">
        <v>0.0539381286629932</v>
      </c>
      <c r="O274" s="12" t="n">
        <v>0.128690150410166</v>
      </c>
      <c r="P274" s="12" t="n">
        <v>0.226152163284773</v>
      </c>
      <c r="Q274" s="4" t="n">
        <f aca="false">RANK(N274,$N$7:$N$307,0)</f>
        <v>268</v>
      </c>
      <c r="R274" s="4" t="n">
        <f aca="false">RANK(O274,$O$7:$O$307,1)</f>
        <v>171</v>
      </c>
      <c r="S274" s="4" t="n">
        <f aca="false">RANK(J274,$J$7:$J$307,0)</f>
        <v>270</v>
      </c>
      <c r="T274" s="4" t="str">
        <f aca="false">IF(O274&lt;0.05,"YES","no")</f>
        <v>no</v>
      </c>
      <c r="U274" s="4" t="str">
        <f aca="false">IF(P274&lt;0.05,"YES","no")</f>
        <v>no</v>
      </c>
      <c r="V274" s="4" t="str">
        <f aca="false">IF(N274&gt;1,"YES","no")</f>
        <v>no</v>
      </c>
    </row>
    <row r="275" customFormat="false" ht="15" hidden="false" customHeight="false" outlineLevel="0" collapsed="false">
      <c r="A275" s="4" t="s">
        <v>397</v>
      </c>
      <c r="B275" s="4" t="s">
        <v>398</v>
      </c>
      <c r="C275" s="4" t="s">
        <v>72</v>
      </c>
      <c r="D275" s="8" t="n">
        <v>166.02921</v>
      </c>
      <c r="E275" s="9" t="n">
        <v>11.73</v>
      </c>
      <c r="F275" s="10" t="n">
        <v>263971.528297365</v>
      </c>
      <c r="G275" s="10" t="n">
        <v>70571.3729567024</v>
      </c>
      <c r="H275" s="10" t="n">
        <v>232862.189327318</v>
      </c>
      <c r="I275" s="10" t="n">
        <v>53543.957489433</v>
      </c>
      <c r="J275" s="10" t="n">
        <v>248416.858812341</v>
      </c>
      <c r="K275" s="11" t="n">
        <v>0.882148884878973</v>
      </c>
      <c r="L275" s="11" t="n">
        <v>-0.180905927370485</v>
      </c>
      <c r="M275" s="11" t="n">
        <v>0.262485590904358</v>
      </c>
      <c r="N275" s="11" t="n">
        <v>0.0538144061681362</v>
      </c>
      <c r="O275" s="12" t="n">
        <v>0.411243494129554</v>
      </c>
      <c r="P275" s="12" t="n">
        <v>0.530924971510783</v>
      </c>
      <c r="Q275" s="4" t="n">
        <f aca="false">RANK(N275,$N$7:$N$307,0)</f>
        <v>269</v>
      </c>
      <c r="R275" s="4" t="n">
        <f aca="false">RANK(O275,$O$7:$O$307,1)</f>
        <v>233</v>
      </c>
      <c r="S275" s="4" t="n">
        <f aca="false">RANK(J275,$J$7:$J$307,0)</f>
        <v>244</v>
      </c>
      <c r="T275" s="4" t="str">
        <f aca="false">IF(O275&lt;0.05,"YES","no")</f>
        <v>no</v>
      </c>
      <c r="U275" s="4" t="str">
        <f aca="false">IF(P275&lt;0.05,"YES","no")</f>
        <v>no</v>
      </c>
      <c r="V275" s="4" t="str">
        <f aca="false">IF(N275&gt;1,"YES","no")</f>
        <v>no</v>
      </c>
    </row>
    <row r="276" customFormat="false" ht="15" hidden="false" customHeight="false" outlineLevel="0" collapsed="false">
      <c r="A276" s="4" t="s">
        <v>390</v>
      </c>
      <c r="B276" s="4" t="s">
        <v>391</v>
      </c>
      <c r="C276" s="4" t="s">
        <v>72</v>
      </c>
      <c r="D276" s="8" t="n">
        <v>348.07055</v>
      </c>
      <c r="E276" s="9" t="n">
        <v>7.787</v>
      </c>
      <c r="F276" s="10" t="n">
        <v>91080.2621965676</v>
      </c>
      <c r="G276" s="10" t="n">
        <v>61960.3113882561</v>
      </c>
      <c r="H276" s="10" t="n">
        <v>152191.488978678</v>
      </c>
      <c r="I276" s="10" t="n">
        <v>69750.163923743</v>
      </c>
      <c r="J276" s="10" t="n">
        <v>121635.875587623</v>
      </c>
      <c r="K276" s="11" t="n">
        <v>1.67096015435508</v>
      </c>
      <c r="L276" s="11" t="n">
        <v>0.740677331364563</v>
      </c>
      <c r="M276" s="11" t="n">
        <v>0.452470672559051</v>
      </c>
      <c r="N276" s="11" t="n">
        <v>0.053796744028002</v>
      </c>
      <c r="O276" s="12" t="n">
        <v>0.140114403826378</v>
      </c>
      <c r="P276" s="12" t="n">
        <v>0.239627474725795</v>
      </c>
      <c r="Q276" s="4" t="n">
        <f aca="false">RANK(N276,$N$7:$N$307,0)</f>
        <v>270</v>
      </c>
      <c r="R276" s="4" t="n">
        <f aca="false">RANK(O276,$O$7:$O$307,1)</f>
        <v>176</v>
      </c>
      <c r="S276" s="4" t="n">
        <f aca="false">RANK(J276,$J$7:$J$307,0)</f>
        <v>274</v>
      </c>
      <c r="T276" s="4" t="str">
        <f aca="false">IF(O276&lt;0.05,"YES","no")</f>
        <v>no</v>
      </c>
      <c r="U276" s="4" t="str">
        <f aca="false">IF(P276&lt;0.05,"YES","no")</f>
        <v>no</v>
      </c>
      <c r="V276" s="4" t="str">
        <f aca="false">IF(N276&gt;1,"YES","no")</f>
        <v>no</v>
      </c>
    </row>
    <row r="277" customFormat="false" ht="15" hidden="false" customHeight="false" outlineLevel="0" collapsed="false">
      <c r="A277" s="4" t="s">
        <v>380</v>
      </c>
      <c r="B277" s="4"/>
      <c r="C277" s="4" t="s">
        <v>72</v>
      </c>
      <c r="D277" s="8" t="n">
        <v>744.08613</v>
      </c>
      <c r="E277" s="9" t="n">
        <v>9.886</v>
      </c>
      <c r="F277" s="10" t="n">
        <v>26580.1742382717</v>
      </c>
      <c r="G277" s="10" t="n">
        <v>13232.6375310245</v>
      </c>
      <c r="H277" s="10" t="n">
        <v>59317.4445852476</v>
      </c>
      <c r="I277" s="10" t="n">
        <v>17638.0342624038</v>
      </c>
      <c r="J277" s="10" t="n">
        <v>42948.8094117596</v>
      </c>
      <c r="K277" s="11" t="n">
        <v>2.2316424284322</v>
      </c>
      <c r="L277" s="11" t="n">
        <v>1.15810588556604</v>
      </c>
      <c r="M277" s="11" t="n">
        <v>0.754614092346562</v>
      </c>
      <c r="N277" s="11" t="n">
        <v>0.0478078927115808</v>
      </c>
      <c r="O277" s="12" t="n">
        <v>0.00516397143845899</v>
      </c>
      <c r="P277" s="12" t="n">
        <v>0.0370084619756228</v>
      </c>
      <c r="Q277" s="4" t="n">
        <f aca="false">RANK(N277,$N$7:$N$307,0)</f>
        <v>271</v>
      </c>
      <c r="R277" s="4" t="n">
        <f aca="false">RANK(O277,$O$7:$O$307,1)</f>
        <v>42</v>
      </c>
      <c r="S277" s="4" t="n">
        <f aca="false">RANK(J277,$J$7:$J$307,0)</f>
        <v>291</v>
      </c>
      <c r="T277" s="4" t="str">
        <f aca="false">IF(O277&lt;0.05,"YES","no")</f>
        <v>YES</v>
      </c>
      <c r="U277" s="4" t="str">
        <f aca="false">IF(P277&lt;0.05,"YES","no")</f>
        <v>YES</v>
      </c>
      <c r="V277" s="4" t="str">
        <f aca="false">IF(N277&gt;1,"YES","no")</f>
        <v>no</v>
      </c>
    </row>
    <row r="278" customFormat="false" ht="15" hidden="false" customHeight="false" outlineLevel="0" collapsed="false">
      <c r="A278" s="4" t="s">
        <v>383</v>
      </c>
      <c r="B278" s="4"/>
      <c r="C278" s="4" t="s">
        <v>72</v>
      </c>
      <c r="D278" s="8" t="n">
        <v>167.03515</v>
      </c>
      <c r="E278" s="9" t="n">
        <v>6.887</v>
      </c>
      <c r="F278" s="10" t="n">
        <v>87976.892566645</v>
      </c>
      <c r="G278" s="10" t="n">
        <v>64091.9189813667</v>
      </c>
      <c r="H278" s="10" t="n">
        <v>120078.316514222</v>
      </c>
      <c r="I278" s="10" t="n">
        <v>20241.8940115614</v>
      </c>
      <c r="J278" s="10" t="n">
        <v>104027.604540434</v>
      </c>
      <c r="K278" s="11" t="n">
        <v>1.3648847215564</v>
      </c>
      <c r="L278" s="11" t="n">
        <v>0.44877910597145</v>
      </c>
      <c r="M278" s="11" t="n">
        <v>0.346972840720992</v>
      </c>
      <c r="N278" s="11" t="n">
        <v>0.0472170526359099</v>
      </c>
      <c r="O278" s="12" t="n">
        <v>0.286490366524179</v>
      </c>
      <c r="P278" s="12" t="n">
        <v>0.404852583679708</v>
      </c>
      <c r="Q278" s="4" t="n">
        <f aca="false">RANK(N278,$N$7:$N$307,0)</f>
        <v>272</v>
      </c>
      <c r="R278" s="4" t="n">
        <f aca="false">RANK(O278,$O$7:$O$307,1)</f>
        <v>213</v>
      </c>
      <c r="S278" s="4" t="n">
        <f aca="false">RANK(J278,$J$7:$J$307,0)</f>
        <v>279</v>
      </c>
      <c r="T278" s="4" t="str">
        <f aca="false">IF(O278&lt;0.05,"YES","no")</f>
        <v>no</v>
      </c>
      <c r="U278" s="4" t="str">
        <f aca="false">IF(P278&lt;0.05,"YES","no")</f>
        <v>no</v>
      </c>
      <c r="V278" s="4" t="str">
        <f aca="false">IF(N278&gt;1,"YES","no")</f>
        <v>no</v>
      </c>
    </row>
    <row r="279" customFormat="false" ht="15" hidden="false" customHeight="false" outlineLevel="0" collapsed="false">
      <c r="A279" s="4" t="s">
        <v>406</v>
      </c>
      <c r="B279" s="4"/>
      <c r="C279" s="4" t="s">
        <v>72</v>
      </c>
      <c r="D279" s="8" t="n">
        <v>185.0809</v>
      </c>
      <c r="E279" s="9" t="n">
        <v>6.797</v>
      </c>
      <c r="F279" s="10" t="n">
        <v>117945.305619789</v>
      </c>
      <c r="G279" s="10" t="n">
        <v>48513.8586096354</v>
      </c>
      <c r="H279" s="10" t="n">
        <v>121700.255867108</v>
      </c>
      <c r="I279" s="10" t="n">
        <v>88789.7893076209</v>
      </c>
      <c r="J279" s="10" t="n">
        <v>119822.780743449</v>
      </c>
      <c r="K279" s="11" t="n">
        <v>1.03183636879473</v>
      </c>
      <c r="L279" s="11" t="n">
        <v>0.0452142026936538</v>
      </c>
      <c r="M279" s="11" t="n">
        <v>0.0287348806889201</v>
      </c>
      <c r="N279" s="11" t="n">
        <v>0.0447788098862522</v>
      </c>
      <c r="O279" s="12" t="n">
        <v>0.929875992494407</v>
      </c>
      <c r="P279" s="12" t="n">
        <v>0.961830493954696</v>
      </c>
      <c r="Q279" s="4" t="n">
        <f aca="false">RANK(N279,$N$7:$N$307,0)</f>
        <v>273</v>
      </c>
      <c r="R279" s="4" t="n">
        <f aca="false">RANK(O279,$O$7:$O$307,1)</f>
        <v>291</v>
      </c>
      <c r="S279" s="4" t="n">
        <f aca="false">RANK(J279,$J$7:$J$307,0)</f>
        <v>276</v>
      </c>
      <c r="T279" s="4" t="str">
        <f aca="false">IF(O279&lt;0.05,"YES","no")</f>
        <v>no</v>
      </c>
      <c r="U279" s="4" t="str">
        <f aca="false">IF(P279&lt;0.05,"YES","no")</f>
        <v>no</v>
      </c>
      <c r="V279" s="4" t="str">
        <f aca="false">IF(N279&gt;1,"YES","no")</f>
        <v>no</v>
      </c>
    </row>
    <row r="280" customFormat="false" ht="15" hidden="false" customHeight="false" outlineLevel="0" collapsed="false">
      <c r="A280" s="4" t="s">
        <v>395</v>
      </c>
      <c r="B280" s="4"/>
      <c r="C280" s="4" t="s">
        <v>72</v>
      </c>
      <c r="D280" s="8" t="n">
        <v>249.12665</v>
      </c>
      <c r="E280" s="9" t="n">
        <v>5.019</v>
      </c>
      <c r="F280" s="10" t="n">
        <v>35600.367421357</v>
      </c>
      <c r="G280" s="10" t="n">
        <v>17930.251013829</v>
      </c>
      <c r="H280" s="10" t="n">
        <v>61965.6862327004</v>
      </c>
      <c r="I280" s="10" t="n">
        <v>26007.4769044727</v>
      </c>
      <c r="J280" s="10" t="n">
        <v>48783.0268270287</v>
      </c>
      <c r="K280" s="11" t="n">
        <v>1.74059119950337</v>
      </c>
      <c r="L280" s="11" t="n">
        <v>0.799577407066047</v>
      </c>
      <c r="M280" s="11" t="n">
        <v>0.542920764065602</v>
      </c>
      <c r="N280" s="11" t="n">
        <v>0.0398495488633307</v>
      </c>
      <c r="O280" s="12" t="n">
        <v>0.0716860502903781</v>
      </c>
      <c r="P280" s="12" t="n">
        <v>0.159938752931033</v>
      </c>
      <c r="Q280" s="4" t="n">
        <f aca="false">RANK(N280,$N$7:$N$307,0)</f>
        <v>274</v>
      </c>
      <c r="R280" s="4" t="n">
        <f aca="false">RANK(O280,$O$7:$O$307,1)</f>
        <v>134</v>
      </c>
      <c r="S280" s="4" t="n">
        <f aca="false">RANK(J280,$J$7:$J$307,0)</f>
        <v>290</v>
      </c>
      <c r="T280" s="4" t="str">
        <f aca="false">IF(O280&lt;0.05,"YES","no")</f>
        <v>no</v>
      </c>
      <c r="U280" s="4" t="str">
        <f aca="false">IF(P280&lt;0.05,"YES","no")</f>
        <v>no</v>
      </c>
      <c r="V280" s="4" t="str">
        <f aca="false">IF(N280&gt;1,"YES","no")</f>
        <v>no</v>
      </c>
    </row>
    <row r="281" customFormat="false" ht="15" hidden="false" customHeight="false" outlineLevel="0" collapsed="false">
      <c r="A281" s="4" t="s">
        <v>381</v>
      </c>
      <c r="B281" s="4"/>
      <c r="C281" s="4" t="s">
        <v>72</v>
      </c>
      <c r="D281" s="8" t="n">
        <v>149.02778</v>
      </c>
      <c r="E281" s="9" t="n">
        <v>5.021</v>
      </c>
      <c r="F281" s="10" t="n">
        <v>53840.5910146289</v>
      </c>
      <c r="G281" s="10" t="n">
        <v>45963.6949087745</v>
      </c>
      <c r="H281" s="10" t="n">
        <v>83221.822754836</v>
      </c>
      <c r="I281" s="10" t="n">
        <v>24424.4109532097</v>
      </c>
      <c r="J281" s="10" t="n">
        <v>68531.2068847325</v>
      </c>
      <c r="K281" s="11" t="n">
        <v>1.54570782353084</v>
      </c>
      <c r="L281" s="11" t="n">
        <v>0.628267640492035</v>
      </c>
      <c r="M281" s="11" t="n">
        <v>0.400622090289482</v>
      </c>
      <c r="N281" s="11" t="n">
        <v>0.0396749299311591</v>
      </c>
      <c r="O281" s="12" t="n">
        <v>0.205950295318686</v>
      </c>
      <c r="P281" s="12" t="n">
        <v>0.322869994223565</v>
      </c>
      <c r="Q281" s="4" t="n">
        <f aca="false">RANK(N281,$N$7:$N$307,0)</f>
        <v>275</v>
      </c>
      <c r="R281" s="4" t="n">
        <f aca="false">RANK(O281,$O$7:$O$307,1)</f>
        <v>192</v>
      </c>
      <c r="S281" s="4" t="n">
        <f aca="false">RANK(J281,$J$7:$J$307,0)</f>
        <v>285</v>
      </c>
      <c r="T281" s="4" t="str">
        <f aca="false">IF(O281&lt;0.05,"YES","no")</f>
        <v>no</v>
      </c>
      <c r="U281" s="4" t="str">
        <f aca="false">IF(P281&lt;0.05,"YES","no")</f>
        <v>no</v>
      </c>
      <c r="V281" s="4" t="str">
        <f aca="false">IF(N281&gt;1,"YES","no")</f>
        <v>no</v>
      </c>
    </row>
    <row r="282" customFormat="false" ht="15" hidden="false" customHeight="false" outlineLevel="0" collapsed="false">
      <c r="A282" s="4" t="s">
        <v>351</v>
      </c>
      <c r="B282" s="4" t="s">
        <v>352</v>
      </c>
      <c r="C282" s="4" t="s">
        <v>61</v>
      </c>
      <c r="D282" s="8" t="n">
        <v>194.08105</v>
      </c>
      <c r="E282" s="9" t="n">
        <v>5.027</v>
      </c>
      <c r="F282" s="10" t="n">
        <v>394767.373243984</v>
      </c>
      <c r="G282" s="10" t="n">
        <v>202338.194051992</v>
      </c>
      <c r="H282" s="10" t="n">
        <v>401212.818058948</v>
      </c>
      <c r="I282" s="10" t="n">
        <v>179614.653113005</v>
      </c>
      <c r="J282" s="10" t="n">
        <v>397990.095651466</v>
      </c>
      <c r="K282" s="11" t="n">
        <v>1.01632719736183</v>
      </c>
      <c r="L282" s="11" t="n">
        <v>0.0233649395290444</v>
      </c>
      <c r="M282" s="11" t="n">
        <v>0.0184498405792625</v>
      </c>
      <c r="N282" s="11" t="n">
        <v>0.0385925754030576</v>
      </c>
      <c r="O282" s="12" t="n">
        <v>0.954632600272904</v>
      </c>
      <c r="P282" s="12" t="n">
        <v>0.96391750325733</v>
      </c>
      <c r="Q282" s="4" t="n">
        <f aca="false">RANK(N282,$N$7:$N$307,0)</f>
        <v>276</v>
      </c>
      <c r="R282" s="4" t="n">
        <f aca="false">RANK(O282,$O$7:$O$307,1)</f>
        <v>297</v>
      </c>
      <c r="S282" s="4" t="n">
        <f aca="false">RANK(J282,$J$7:$J$307,0)</f>
        <v>218</v>
      </c>
      <c r="T282" s="4" t="str">
        <f aca="false">IF(O282&lt;0.05,"YES","no")</f>
        <v>no</v>
      </c>
      <c r="U282" s="4" t="str">
        <f aca="false">IF(P282&lt;0.05,"YES","no")</f>
        <v>no</v>
      </c>
      <c r="V282" s="4" t="str">
        <f aca="false">IF(N282&gt;1,"YES","no")</f>
        <v>no</v>
      </c>
    </row>
    <row r="283" customFormat="false" ht="15" hidden="false" customHeight="false" outlineLevel="0" collapsed="false">
      <c r="A283" s="4" t="s">
        <v>349</v>
      </c>
      <c r="B283" s="4"/>
      <c r="C283" s="4" t="s">
        <v>72</v>
      </c>
      <c r="D283" s="8" t="n">
        <v>428.03662</v>
      </c>
      <c r="E283" s="9" t="n">
        <v>11.929</v>
      </c>
      <c r="F283" s="10" t="n">
        <v>460960.783440645</v>
      </c>
      <c r="G283" s="10" t="n">
        <v>219948.330843826</v>
      </c>
      <c r="H283" s="10" t="n">
        <v>462316.486020394</v>
      </c>
      <c r="I283" s="10" t="n">
        <v>236700.848768941</v>
      </c>
      <c r="J283" s="10" t="n">
        <v>461638.63473052</v>
      </c>
      <c r="K283" s="11" t="n">
        <v>1.00294103669651</v>
      </c>
      <c r="L283" s="11" t="n">
        <v>0.00423679182643238</v>
      </c>
      <c r="M283" s="11" t="n">
        <v>0.00324996003352713</v>
      </c>
      <c r="N283" s="11" t="n">
        <v>0.0385806132872488</v>
      </c>
      <c r="O283" s="12" t="n">
        <v>0.992003232318747</v>
      </c>
      <c r="P283" s="12" t="n">
        <v>0.992003232318747</v>
      </c>
      <c r="Q283" s="4" t="n">
        <f aca="false">RANK(N283,$N$7:$N$307,0)</f>
        <v>277</v>
      </c>
      <c r="R283" s="4" t="n">
        <f aca="false">RANK(O283,$O$7:$O$307,1)</f>
        <v>301</v>
      </c>
      <c r="S283" s="4" t="n">
        <f aca="false">RANK(J283,$J$7:$J$307,0)</f>
        <v>213</v>
      </c>
      <c r="T283" s="4" t="str">
        <f aca="false">IF(O283&lt;0.05,"YES","no")</f>
        <v>no</v>
      </c>
      <c r="U283" s="4" t="str">
        <f aca="false">IF(P283&lt;0.05,"YES","no")</f>
        <v>no</v>
      </c>
      <c r="V283" s="4" t="str">
        <f aca="false">IF(N283&gt;1,"YES","no")</f>
        <v>no</v>
      </c>
    </row>
    <row r="284" customFormat="false" ht="15" hidden="false" customHeight="false" outlineLevel="0" collapsed="false">
      <c r="A284" s="4" t="s">
        <v>332</v>
      </c>
      <c r="B284" s="4"/>
      <c r="C284" s="4" t="s">
        <v>72</v>
      </c>
      <c r="D284" s="8" t="n">
        <v>206.1024</v>
      </c>
      <c r="E284" s="9" t="n">
        <v>5.024</v>
      </c>
      <c r="F284" s="10" t="n">
        <v>310188.744406188</v>
      </c>
      <c r="G284" s="10" t="n">
        <v>268122.083569167</v>
      </c>
      <c r="H284" s="10" t="n">
        <v>319253.216889108</v>
      </c>
      <c r="I284" s="10" t="n">
        <v>248395.356736744</v>
      </c>
      <c r="J284" s="10" t="n">
        <v>314720.980647648</v>
      </c>
      <c r="K284" s="11" t="n">
        <v>1.02922244164685</v>
      </c>
      <c r="L284" s="11" t="n">
        <v>0.0415548197238402</v>
      </c>
      <c r="M284" s="11" t="n">
        <v>0.0192066465969936</v>
      </c>
      <c r="N284" s="11" t="n">
        <v>0.0383143457621888</v>
      </c>
      <c r="O284" s="12" t="n">
        <v>0.952763737242081</v>
      </c>
      <c r="P284" s="12" t="n">
        <v>0.96391750325733</v>
      </c>
      <c r="Q284" s="4" t="n">
        <f aca="false">RANK(N284,$N$7:$N$307,0)</f>
        <v>278</v>
      </c>
      <c r="R284" s="4" t="n">
        <f aca="false">RANK(O284,$O$7:$O$307,1)</f>
        <v>296</v>
      </c>
      <c r="S284" s="4" t="n">
        <f aca="false">RANK(J284,$J$7:$J$307,0)</f>
        <v>232</v>
      </c>
      <c r="T284" s="4" t="str">
        <f aca="false">IF(O284&lt;0.05,"YES","no")</f>
        <v>no</v>
      </c>
      <c r="U284" s="4" t="str">
        <f aca="false">IF(P284&lt;0.05,"YES","no")</f>
        <v>no</v>
      </c>
      <c r="V284" s="4" t="str">
        <f aca="false">IF(N284&gt;1,"YES","no")</f>
        <v>no</v>
      </c>
    </row>
    <row r="285" customFormat="false" ht="15" hidden="false" customHeight="false" outlineLevel="0" collapsed="false">
      <c r="A285" s="4" t="s">
        <v>362</v>
      </c>
      <c r="B285" s="4"/>
      <c r="C285" s="4" t="s">
        <v>61</v>
      </c>
      <c r="D285" s="8" t="n">
        <v>151.06126</v>
      </c>
      <c r="E285" s="9" t="n">
        <v>10.081</v>
      </c>
      <c r="F285" s="10" t="n">
        <v>177813.945864964</v>
      </c>
      <c r="G285" s="10" t="n">
        <v>56394.9224915887</v>
      </c>
      <c r="H285" s="10" t="n">
        <v>218313.379204958</v>
      </c>
      <c r="I285" s="10" t="n">
        <v>54887.0104871873</v>
      </c>
      <c r="J285" s="10" t="n">
        <v>198063.662534961</v>
      </c>
      <c r="K285" s="11" t="n">
        <v>1.22776297518728</v>
      </c>
      <c r="L285" s="11" t="n">
        <v>0.296032069236078</v>
      </c>
      <c r="M285" s="11" t="n">
        <v>0.370297060813751</v>
      </c>
      <c r="N285" s="11" t="n">
        <v>0.0370917933058553</v>
      </c>
      <c r="O285" s="12" t="n">
        <v>0.23609452960998</v>
      </c>
      <c r="P285" s="12" t="n">
        <v>0.355651619478185</v>
      </c>
      <c r="Q285" s="4" t="n">
        <f aca="false">RANK(N285,$N$7:$N$307,0)</f>
        <v>279</v>
      </c>
      <c r="R285" s="4" t="n">
        <f aca="false">RANK(O285,$O$7:$O$307,1)</f>
        <v>199</v>
      </c>
      <c r="S285" s="4" t="n">
        <f aca="false">RANK(J285,$J$7:$J$307,0)</f>
        <v>255</v>
      </c>
      <c r="T285" s="4" t="str">
        <f aca="false">IF(O285&lt;0.05,"YES","no")</f>
        <v>no</v>
      </c>
      <c r="U285" s="4" t="str">
        <f aca="false">IF(P285&lt;0.05,"YES","no")</f>
        <v>no</v>
      </c>
      <c r="V285" s="4" t="str">
        <f aca="false">IF(N285&gt;1,"YES","no")</f>
        <v>no</v>
      </c>
    </row>
    <row r="286" customFormat="false" ht="15" hidden="false" customHeight="false" outlineLevel="0" collapsed="false">
      <c r="A286" s="4" t="s">
        <v>405</v>
      </c>
      <c r="B286" s="4"/>
      <c r="C286" s="4" t="s">
        <v>72</v>
      </c>
      <c r="D286" s="8" t="n">
        <v>202.05104</v>
      </c>
      <c r="E286" s="9" t="n">
        <v>5.016</v>
      </c>
      <c r="F286" s="10" t="n">
        <v>40063.8707956834</v>
      </c>
      <c r="G286" s="10" t="n">
        <v>13341.0303177947</v>
      </c>
      <c r="H286" s="10" t="n">
        <v>61109.1909371145</v>
      </c>
      <c r="I286" s="10" t="n">
        <v>8407.70476557517</v>
      </c>
      <c r="J286" s="10" t="n">
        <v>50586.5308663989</v>
      </c>
      <c r="K286" s="11" t="n">
        <v>1.52529422952558</v>
      </c>
      <c r="L286" s="11" t="n">
        <v>0.609087565648207</v>
      </c>
      <c r="M286" s="11" t="n">
        <v>0.718743573416176</v>
      </c>
      <c r="N286" s="11" t="n">
        <v>0.0370589100978466</v>
      </c>
      <c r="O286" s="12" t="n">
        <v>0.0105885014575102</v>
      </c>
      <c r="P286" s="12" t="n">
        <v>0.054950671357079</v>
      </c>
      <c r="Q286" s="4" t="n">
        <f aca="false">RANK(N286,$N$7:$N$307,0)</f>
        <v>280</v>
      </c>
      <c r="R286" s="4" t="n">
        <f aca="false">RANK(O286,$O$7:$O$307,1)</f>
        <v>58</v>
      </c>
      <c r="S286" s="4" t="n">
        <f aca="false">RANK(J286,$J$7:$J$307,0)</f>
        <v>289</v>
      </c>
      <c r="T286" s="4" t="str">
        <f aca="false">IF(O286&lt;0.05,"YES","no")</f>
        <v>YES</v>
      </c>
      <c r="U286" s="4" t="str">
        <f aca="false">IF(P286&lt;0.05,"YES","no")</f>
        <v>no</v>
      </c>
      <c r="V286" s="4" t="str">
        <f aca="false">IF(N286&gt;1,"YES","no")</f>
        <v>no</v>
      </c>
    </row>
    <row r="287" customFormat="false" ht="15" hidden="false" customHeight="false" outlineLevel="0" collapsed="false">
      <c r="A287" s="4" t="s">
        <v>399</v>
      </c>
      <c r="B287" s="4"/>
      <c r="C287" s="4" t="s">
        <v>72</v>
      </c>
      <c r="D287" s="8" t="n">
        <v>176.06648</v>
      </c>
      <c r="E287" s="9" t="n">
        <v>10.275</v>
      </c>
      <c r="F287" s="10" t="n">
        <v>95274.0429815293</v>
      </c>
      <c r="G287" s="10" t="n">
        <v>32245.0258591007</v>
      </c>
      <c r="H287" s="10" t="n">
        <v>125333.339730785</v>
      </c>
      <c r="I287" s="10" t="n">
        <v>51625.5729895971</v>
      </c>
      <c r="J287" s="10" t="n">
        <v>110303.691356157</v>
      </c>
      <c r="K287" s="11" t="n">
        <v>1.31550352864823</v>
      </c>
      <c r="L287" s="11" t="n">
        <v>0.395615118330079</v>
      </c>
      <c r="M287" s="11" t="n">
        <v>0.35728049595286</v>
      </c>
      <c r="N287" s="11" t="n">
        <v>0.0364607847108157</v>
      </c>
      <c r="O287" s="12" t="n">
        <v>0.259403740200822</v>
      </c>
      <c r="P287" s="12" t="n">
        <v>0.374467182320248</v>
      </c>
      <c r="Q287" s="4" t="n">
        <f aca="false">RANK(N287,$N$7:$N$307,0)</f>
        <v>281</v>
      </c>
      <c r="R287" s="4" t="n">
        <f aca="false">RANK(O287,$O$7:$O$307,1)</f>
        <v>208</v>
      </c>
      <c r="S287" s="4" t="n">
        <f aca="false">RANK(J287,$J$7:$J$307,0)</f>
        <v>277</v>
      </c>
      <c r="T287" s="4" t="str">
        <f aca="false">IF(O287&lt;0.05,"YES","no")</f>
        <v>no</v>
      </c>
      <c r="U287" s="4" t="str">
        <f aca="false">IF(P287&lt;0.05,"YES","no")</f>
        <v>no</v>
      </c>
      <c r="V287" s="4" t="str">
        <f aca="false">IF(N287&gt;1,"YES","no")</f>
        <v>no</v>
      </c>
    </row>
    <row r="288" customFormat="false" ht="15" hidden="false" customHeight="false" outlineLevel="0" collapsed="false">
      <c r="A288" s="4" t="s">
        <v>413</v>
      </c>
      <c r="B288" s="4"/>
      <c r="C288" s="4" t="s">
        <v>72</v>
      </c>
      <c r="D288" s="8" t="n">
        <v>227.0674</v>
      </c>
      <c r="E288" s="9" t="n">
        <v>7.495</v>
      </c>
      <c r="F288" s="10" t="n">
        <v>137566.893219853</v>
      </c>
      <c r="G288" s="10" t="n">
        <v>82529.1450838121</v>
      </c>
      <c r="H288" s="10" t="n">
        <v>181916.283631854</v>
      </c>
      <c r="I288" s="10" t="n">
        <v>116254.739197303</v>
      </c>
      <c r="J288" s="10" t="n">
        <v>159741.588425853</v>
      </c>
      <c r="K288" s="11" t="n">
        <v>1.32238418251638</v>
      </c>
      <c r="L288" s="11" t="n">
        <v>0.403141373283657</v>
      </c>
      <c r="M288" s="11" t="n">
        <v>0.234250201661367</v>
      </c>
      <c r="N288" s="11" t="n">
        <v>0.0364457132850875</v>
      </c>
      <c r="O288" s="12" t="n">
        <v>0.465539414531648</v>
      </c>
      <c r="P288" s="12" t="n">
        <v>0.571948423567454</v>
      </c>
      <c r="Q288" s="4" t="n">
        <f aca="false">RANK(N288,$N$7:$N$307,0)</f>
        <v>282</v>
      </c>
      <c r="R288" s="4" t="n">
        <f aca="false">RANK(O288,$O$7:$O$307,1)</f>
        <v>245</v>
      </c>
      <c r="S288" s="4" t="n">
        <f aca="false">RANK(J288,$J$7:$J$307,0)</f>
        <v>264</v>
      </c>
      <c r="T288" s="4" t="str">
        <f aca="false">IF(O288&lt;0.05,"YES","no")</f>
        <v>no</v>
      </c>
      <c r="U288" s="4" t="str">
        <f aca="false">IF(P288&lt;0.05,"YES","no")</f>
        <v>no</v>
      </c>
      <c r="V288" s="4" t="str">
        <f aca="false">IF(N288&gt;1,"YES","no")</f>
        <v>no</v>
      </c>
    </row>
    <row r="289" customFormat="false" ht="15" hidden="false" customHeight="false" outlineLevel="0" collapsed="false">
      <c r="A289" s="4" t="s">
        <v>333</v>
      </c>
      <c r="B289" s="4"/>
      <c r="C289" s="4" t="s">
        <v>72</v>
      </c>
      <c r="D289" s="8" t="n">
        <v>329.23316</v>
      </c>
      <c r="E289" s="9" t="n">
        <v>4.472</v>
      </c>
      <c r="F289" s="10" t="n">
        <v>324944.7861515</v>
      </c>
      <c r="G289" s="10" t="n">
        <v>225498.328263266</v>
      </c>
      <c r="H289" s="10" t="n">
        <v>340535.404266386</v>
      </c>
      <c r="I289" s="10" t="n">
        <v>82667.7077131504</v>
      </c>
      <c r="J289" s="10" t="n">
        <v>332740.095208943</v>
      </c>
      <c r="K289" s="11" t="n">
        <v>1.04797928380244</v>
      </c>
      <c r="L289" s="11" t="n">
        <v>0.0676101983153558</v>
      </c>
      <c r="M289" s="11" t="n">
        <v>0.0502186510250547</v>
      </c>
      <c r="N289" s="11" t="n">
        <v>0.0363645156677037</v>
      </c>
      <c r="O289" s="12" t="n">
        <v>0.878624483100843</v>
      </c>
      <c r="P289" s="12" t="n">
        <v>0.924706186759978</v>
      </c>
      <c r="Q289" s="4" t="n">
        <f aca="false">RANK(N289,$N$7:$N$307,0)</f>
        <v>283</v>
      </c>
      <c r="R289" s="4" t="n">
        <f aca="false">RANK(O289,$O$7:$O$307,1)</f>
        <v>286</v>
      </c>
      <c r="S289" s="4" t="n">
        <f aca="false">RANK(J289,$J$7:$J$307,0)</f>
        <v>229</v>
      </c>
      <c r="T289" s="4" t="str">
        <f aca="false">IF(O289&lt;0.05,"YES","no")</f>
        <v>no</v>
      </c>
      <c r="U289" s="4" t="str">
        <f aca="false">IF(P289&lt;0.05,"YES","no")</f>
        <v>no</v>
      </c>
      <c r="V289" s="4" t="str">
        <f aca="false">IF(N289&gt;1,"YES","no")</f>
        <v>no</v>
      </c>
    </row>
    <row r="290" customFormat="false" ht="15" hidden="false" customHeight="false" outlineLevel="0" collapsed="false">
      <c r="A290" s="4" t="s">
        <v>247</v>
      </c>
      <c r="B290" s="4" t="s">
        <v>248</v>
      </c>
      <c r="C290" s="4" t="s">
        <v>61</v>
      </c>
      <c r="D290" s="8" t="n">
        <v>145.0143</v>
      </c>
      <c r="E290" s="9" t="n">
        <v>9.217</v>
      </c>
      <c r="F290" s="10" t="n">
        <v>2686087.67563364</v>
      </c>
      <c r="G290" s="10" t="n">
        <v>1515950.15615701</v>
      </c>
      <c r="H290" s="10" t="n">
        <v>2526908.2935784</v>
      </c>
      <c r="I290" s="10" t="n">
        <v>1844483.00789888</v>
      </c>
      <c r="J290" s="10" t="n">
        <v>2606497.98460602</v>
      </c>
      <c r="K290" s="11" t="n">
        <v>0.940739320053022</v>
      </c>
      <c r="L290" s="11" t="n">
        <v>-0.0881330890093026</v>
      </c>
      <c r="M290" s="11" t="n">
        <v>0.0515748725691944</v>
      </c>
      <c r="N290" s="11" t="n">
        <v>0.0351083719576886</v>
      </c>
      <c r="O290" s="12" t="n">
        <v>0.873646557637333</v>
      </c>
      <c r="P290" s="12" t="n">
        <v>0.922693381925745</v>
      </c>
      <c r="Q290" s="4" t="n">
        <f aca="false">RANK(N290,$N$7:$N$307,0)</f>
        <v>284</v>
      </c>
      <c r="R290" s="4" t="n">
        <f aca="false">RANK(O290,$O$7:$O$307,1)</f>
        <v>285</v>
      </c>
      <c r="S290" s="4" t="n">
        <f aca="false">RANK(J290,$J$7:$J$307,0)</f>
        <v>130</v>
      </c>
      <c r="T290" s="4" t="str">
        <f aca="false">IF(O290&lt;0.05,"YES","no")</f>
        <v>no</v>
      </c>
      <c r="U290" s="4" t="str">
        <f aca="false">IF(P290&lt;0.05,"YES","no")</f>
        <v>no</v>
      </c>
      <c r="V290" s="4" t="str">
        <f aca="false">IF(N290&gt;1,"YES","no")</f>
        <v>no</v>
      </c>
    </row>
    <row r="291" customFormat="false" ht="15" hidden="false" customHeight="false" outlineLevel="0" collapsed="false">
      <c r="A291" s="4" t="s">
        <v>346</v>
      </c>
      <c r="B291" s="4"/>
      <c r="C291" s="4" t="s">
        <v>72</v>
      </c>
      <c r="D291" s="8" t="n">
        <v>487.34341</v>
      </c>
      <c r="E291" s="9" t="n">
        <v>4.214</v>
      </c>
      <c r="F291" s="10" t="n">
        <v>19254.8669864861</v>
      </c>
      <c r="G291" s="10" t="n">
        <v>4485.21786929431</v>
      </c>
      <c r="H291" s="10" t="n">
        <v>38423.0980200579</v>
      </c>
      <c r="I291" s="10" t="n">
        <v>22616.5088016805</v>
      </c>
      <c r="J291" s="10" t="n">
        <v>28838.982503272</v>
      </c>
      <c r="K291" s="11" t="n">
        <v>1.99550056861078</v>
      </c>
      <c r="L291" s="11" t="n">
        <v>0.996750689940059</v>
      </c>
      <c r="M291" s="11" t="n">
        <v>0.541410543987806</v>
      </c>
      <c r="N291" s="11" t="n">
        <v>0.031971669721036</v>
      </c>
      <c r="O291" s="12" t="n">
        <v>0.0931992248946335</v>
      </c>
      <c r="P291" s="12" t="n">
        <v>0.187019777955231</v>
      </c>
      <c r="Q291" s="4" t="n">
        <f aca="false">RANK(N291,$N$7:$N$307,0)</f>
        <v>285</v>
      </c>
      <c r="R291" s="4" t="n">
        <f aca="false">RANK(O291,$O$7:$O$307,1)</f>
        <v>150</v>
      </c>
      <c r="S291" s="4" t="n">
        <f aca="false">RANK(J291,$J$7:$J$307,0)</f>
        <v>297</v>
      </c>
      <c r="T291" s="4" t="str">
        <f aca="false">IF(O291&lt;0.05,"YES","no")</f>
        <v>no</v>
      </c>
      <c r="U291" s="4" t="str">
        <f aca="false">IF(P291&lt;0.05,"YES","no")</f>
        <v>no</v>
      </c>
      <c r="V291" s="4" t="str">
        <f aca="false">IF(N291&gt;1,"YES","no")</f>
        <v>no</v>
      </c>
    </row>
    <row r="292" customFormat="false" ht="15" hidden="false" customHeight="false" outlineLevel="0" collapsed="false">
      <c r="A292" s="4" t="s">
        <v>373</v>
      </c>
      <c r="B292" s="4"/>
      <c r="C292" s="4" t="s">
        <v>72</v>
      </c>
      <c r="D292" s="8" t="n">
        <v>165.05566</v>
      </c>
      <c r="E292" s="9" t="n">
        <v>4.894</v>
      </c>
      <c r="F292" s="10" t="n">
        <v>107018.863484892</v>
      </c>
      <c r="G292" s="10" t="n">
        <v>95351.3748506281</v>
      </c>
      <c r="H292" s="10" t="n">
        <v>148087.463222249</v>
      </c>
      <c r="I292" s="10" t="n">
        <v>111881.494235882</v>
      </c>
      <c r="J292" s="10" t="n">
        <v>127553.16335357</v>
      </c>
      <c r="K292" s="11" t="n">
        <v>1.38375103603258</v>
      </c>
      <c r="L292" s="11" t="n">
        <v>0.468584397171967</v>
      </c>
      <c r="M292" s="11" t="n">
        <v>0.211507825321383</v>
      </c>
      <c r="N292" s="11" t="n">
        <v>0.0302635510635147</v>
      </c>
      <c r="O292" s="12" t="n">
        <v>0.50969811208339</v>
      </c>
      <c r="P292" s="12" t="n">
        <v>0.618625531197986</v>
      </c>
      <c r="Q292" s="4" t="n">
        <f aca="false">RANK(N292,$N$7:$N$307,0)</f>
        <v>286</v>
      </c>
      <c r="R292" s="4" t="n">
        <f aca="false">RANK(O292,$O$7:$O$307,1)</f>
        <v>248</v>
      </c>
      <c r="S292" s="4" t="n">
        <f aca="false">RANK(J292,$J$7:$J$307,0)</f>
        <v>272</v>
      </c>
      <c r="T292" s="4" t="str">
        <f aca="false">IF(O292&lt;0.05,"YES","no")</f>
        <v>no</v>
      </c>
      <c r="U292" s="4" t="str">
        <f aca="false">IF(P292&lt;0.05,"YES","no")</f>
        <v>no</v>
      </c>
      <c r="V292" s="4" t="str">
        <f aca="false">IF(N292&gt;1,"YES","no")</f>
        <v>no</v>
      </c>
    </row>
    <row r="293" customFormat="false" ht="15" hidden="false" customHeight="false" outlineLevel="0" collapsed="false">
      <c r="A293" s="4" t="s">
        <v>409</v>
      </c>
      <c r="B293" s="4"/>
      <c r="C293" s="4" t="s">
        <v>72</v>
      </c>
      <c r="D293" s="8" t="n">
        <v>352.16568</v>
      </c>
      <c r="E293" s="9" t="n">
        <v>4.718</v>
      </c>
      <c r="F293" s="10" t="n">
        <v>23121.341256875</v>
      </c>
      <c r="G293" s="10" t="n">
        <v>5453.49640512459</v>
      </c>
      <c r="H293" s="10" t="n">
        <v>37082.1265338739</v>
      </c>
      <c r="I293" s="10" t="n">
        <v>9976.64414406784</v>
      </c>
      <c r="J293" s="10" t="n">
        <v>30101.7338953745</v>
      </c>
      <c r="K293" s="11" t="n">
        <v>1.60380516518901</v>
      </c>
      <c r="L293" s="11" t="n">
        <v>0.681498889742614</v>
      </c>
      <c r="M293" s="11" t="n">
        <v>0.689171310429857</v>
      </c>
      <c r="N293" s="11" t="n">
        <v>0.0293997478493278</v>
      </c>
      <c r="O293" s="12" t="n">
        <v>0.0175214594824726</v>
      </c>
      <c r="P293" s="12" t="n">
        <v>0.0710387720344875</v>
      </c>
      <c r="Q293" s="4" t="n">
        <f aca="false">RANK(N293,$N$7:$N$307,0)</f>
        <v>287</v>
      </c>
      <c r="R293" s="4" t="n">
        <f aca="false">RANK(O293,$O$7:$O$307,1)</f>
        <v>72</v>
      </c>
      <c r="S293" s="4" t="n">
        <f aca="false">RANK(J293,$J$7:$J$307,0)</f>
        <v>296</v>
      </c>
      <c r="T293" s="4" t="str">
        <f aca="false">IF(O293&lt;0.05,"YES","no")</f>
        <v>YES</v>
      </c>
      <c r="U293" s="4" t="str">
        <f aca="false">IF(P293&lt;0.05,"YES","no")</f>
        <v>no</v>
      </c>
      <c r="V293" s="4" t="str">
        <f aca="false">IF(N293&gt;1,"YES","no")</f>
        <v>no</v>
      </c>
    </row>
    <row r="294" customFormat="false" ht="15" hidden="false" customHeight="false" outlineLevel="0" collapsed="false">
      <c r="A294" s="4" t="s">
        <v>386</v>
      </c>
      <c r="B294" s="4"/>
      <c r="C294" s="4" t="s">
        <v>72</v>
      </c>
      <c r="D294" s="8" t="n">
        <v>203.12759</v>
      </c>
      <c r="E294" s="9" t="n">
        <v>5.019</v>
      </c>
      <c r="F294" s="10" t="n">
        <v>49843.4344164861</v>
      </c>
      <c r="G294" s="10" t="n">
        <v>32864.51175546</v>
      </c>
      <c r="H294" s="10" t="n">
        <v>66773.5445963724</v>
      </c>
      <c r="I294" s="10" t="n">
        <v>22138.3366981712</v>
      </c>
      <c r="J294" s="10" t="n">
        <v>58308.4895064292</v>
      </c>
      <c r="K294" s="11" t="n">
        <v>1.33966580309094</v>
      </c>
      <c r="L294" s="11" t="n">
        <v>0.421873146685339</v>
      </c>
      <c r="M294" s="11" t="n">
        <v>0.314189366405968</v>
      </c>
      <c r="N294" s="11" t="n">
        <v>0.0293139950999452</v>
      </c>
      <c r="O294" s="12" t="n">
        <v>0.323314239316934</v>
      </c>
      <c r="P294" s="12" t="n">
        <v>0.44437253896985</v>
      </c>
      <c r="Q294" s="4" t="n">
        <f aca="false">RANK(N294,$N$7:$N$307,0)</f>
        <v>288</v>
      </c>
      <c r="R294" s="4" t="n">
        <f aca="false">RANK(O294,$O$7:$O$307,1)</f>
        <v>219</v>
      </c>
      <c r="S294" s="4" t="n">
        <f aca="false">RANK(J294,$J$7:$J$307,0)</f>
        <v>288</v>
      </c>
      <c r="T294" s="4" t="str">
        <f aca="false">IF(O294&lt;0.05,"YES","no")</f>
        <v>no</v>
      </c>
      <c r="U294" s="4" t="str">
        <f aca="false">IF(P294&lt;0.05,"YES","no")</f>
        <v>no</v>
      </c>
      <c r="V294" s="4" t="str">
        <f aca="false">IF(N294&gt;1,"YES","no")</f>
        <v>no</v>
      </c>
    </row>
    <row r="295" customFormat="false" ht="15" hidden="false" customHeight="false" outlineLevel="0" collapsed="false">
      <c r="A295" s="4" t="s">
        <v>401</v>
      </c>
      <c r="B295" s="4" t="s">
        <v>402</v>
      </c>
      <c r="C295" s="4" t="s">
        <v>61</v>
      </c>
      <c r="D295" s="8" t="n">
        <v>335.06412</v>
      </c>
      <c r="E295" s="9" t="n">
        <v>10.639</v>
      </c>
      <c r="F295" s="10" t="n">
        <v>35108.0937656197</v>
      </c>
      <c r="G295" s="10" t="n">
        <v>15677.2790680317</v>
      </c>
      <c r="H295" s="10" t="n">
        <v>48816.3899356607</v>
      </c>
      <c r="I295" s="10" t="n">
        <v>26021.6377023848</v>
      </c>
      <c r="J295" s="10" t="n">
        <v>41962.2418506402</v>
      </c>
      <c r="K295" s="11" t="n">
        <v>1.39045971169945</v>
      </c>
      <c r="L295" s="11" t="n">
        <v>0.475561943481101</v>
      </c>
      <c r="M295" s="11" t="n">
        <v>0.329952893586263</v>
      </c>
      <c r="N295" s="11" t="n">
        <v>0.026540903925473</v>
      </c>
      <c r="O295" s="12" t="n">
        <v>0.300374709072695</v>
      </c>
      <c r="P295" s="12" t="n">
        <v>0.41664879000406</v>
      </c>
      <c r="Q295" s="4" t="n">
        <f aca="false">RANK(N295,$N$7:$N$307,0)</f>
        <v>289</v>
      </c>
      <c r="R295" s="4" t="n">
        <f aca="false">RANK(O295,$O$7:$O$307,1)</f>
        <v>217</v>
      </c>
      <c r="S295" s="4" t="n">
        <f aca="false">RANK(J295,$J$7:$J$307,0)</f>
        <v>292</v>
      </c>
      <c r="T295" s="4" t="str">
        <f aca="false">IF(O295&lt;0.05,"YES","no")</f>
        <v>no</v>
      </c>
      <c r="U295" s="4" t="str">
        <f aca="false">IF(P295&lt;0.05,"YES","no")</f>
        <v>no</v>
      </c>
      <c r="V295" s="4" t="str">
        <f aca="false">IF(N295&gt;1,"YES","no")</f>
        <v>no</v>
      </c>
    </row>
    <row r="296" customFormat="false" ht="15" hidden="false" customHeight="false" outlineLevel="0" collapsed="false">
      <c r="A296" s="4" t="s">
        <v>234</v>
      </c>
      <c r="B296" s="4"/>
      <c r="C296" s="4" t="s">
        <v>61</v>
      </c>
      <c r="D296" s="8" t="n">
        <v>159.03002</v>
      </c>
      <c r="E296" s="9" t="n">
        <v>8.888</v>
      </c>
      <c r="F296" s="10" t="n">
        <v>928171.923661667</v>
      </c>
      <c r="G296" s="10" t="n">
        <v>744975.293808511</v>
      </c>
      <c r="H296" s="10" t="n">
        <v>894358.008149875</v>
      </c>
      <c r="I296" s="10" t="n">
        <v>1036724.14927149</v>
      </c>
      <c r="J296" s="10" t="n">
        <v>911264.965905771</v>
      </c>
      <c r="K296" s="11" t="n">
        <v>0.963569340280845</v>
      </c>
      <c r="L296" s="11" t="n">
        <v>-0.0535396055539105</v>
      </c>
      <c r="M296" s="11" t="n">
        <v>0.0205123078225853</v>
      </c>
      <c r="N296" s="11" t="n">
        <v>0.0264826553676827</v>
      </c>
      <c r="O296" s="12" t="n">
        <v>0.949676607580487</v>
      </c>
      <c r="P296" s="12" t="n">
        <v>0.96391750325733</v>
      </c>
      <c r="Q296" s="4" t="n">
        <f aca="false">RANK(N296,$N$7:$N$307,0)</f>
        <v>290</v>
      </c>
      <c r="R296" s="4" t="n">
        <f aca="false">RANK(O296,$O$7:$O$307,1)</f>
        <v>294</v>
      </c>
      <c r="S296" s="4" t="n">
        <f aca="false">RANK(J296,$J$7:$J$307,0)</f>
        <v>182</v>
      </c>
      <c r="T296" s="4" t="str">
        <f aca="false">IF(O296&lt;0.05,"YES","no")</f>
        <v>no</v>
      </c>
      <c r="U296" s="4" t="str">
        <f aca="false">IF(P296&lt;0.05,"YES","no")</f>
        <v>no</v>
      </c>
      <c r="V296" s="4" t="str">
        <f aca="false">IF(N296&gt;1,"YES","no")</f>
        <v>no</v>
      </c>
    </row>
    <row r="297" customFormat="false" ht="15" hidden="false" customHeight="false" outlineLevel="0" collapsed="false">
      <c r="A297" s="4" t="s">
        <v>404</v>
      </c>
      <c r="B297" s="4"/>
      <c r="C297" s="4" t="s">
        <v>72</v>
      </c>
      <c r="D297" s="8" t="n">
        <v>243.02641</v>
      </c>
      <c r="E297" s="9" t="n">
        <v>9.682</v>
      </c>
      <c r="F297" s="10" t="n">
        <v>126836.206002105</v>
      </c>
      <c r="G297" s="10" t="n">
        <v>38206.3999951456</v>
      </c>
      <c r="H297" s="10" t="n">
        <v>130756.362900699</v>
      </c>
      <c r="I297" s="10" t="n">
        <v>18907.5843354908</v>
      </c>
      <c r="J297" s="10" t="n">
        <v>128796.284451402</v>
      </c>
      <c r="K297" s="11" t="n">
        <v>1.03090723873063</v>
      </c>
      <c r="L297" s="11" t="n">
        <v>0.0439145245159278</v>
      </c>
      <c r="M297" s="11" t="n">
        <v>0.0710518872173381</v>
      </c>
      <c r="N297" s="11" t="n">
        <v>0.0263420421966818</v>
      </c>
      <c r="O297" s="12" t="n">
        <v>0.827948767022289</v>
      </c>
      <c r="P297" s="12" t="n">
        <v>0.899684400266097</v>
      </c>
      <c r="Q297" s="4" t="n">
        <f aca="false">RANK(N297,$N$7:$N$307,0)</f>
        <v>291</v>
      </c>
      <c r="R297" s="4" t="n">
        <f aca="false">RANK(O297,$O$7:$O$307,1)</f>
        <v>277</v>
      </c>
      <c r="S297" s="4" t="n">
        <f aca="false">RANK(J297,$J$7:$J$307,0)</f>
        <v>271</v>
      </c>
      <c r="T297" s="4" t="str">
        <f aca="false">IF(O297&lt;0.05,"YES","no")</f>
        <v>no</v>
      </c>
      <c r="U297" s="4" t="str">
        <f aca="false">IF(P297&lt;0.05,"YES","no")</f>
        <v>no</v>
      </c>
      <c r="V297" s="4" t="str">
        <f aca="false">IF(N297&gt;1,"YES","no")</f>
        <v>no</v>
      </c>
    </row>
    <row r="298" customFormat="false" ht="15" hidden="false" customHeight="false" outlineLevel="0" collapsed="false">
      <c r="A298" s="4" t="s">
        <v>387</v>
      </c>
      <c r="B298" s="4"/>
      <c r="C298" s="4" t="s">
        <v>72</v>
      </c>
      <c r="D298" s="8" t="n">
        <v>330.06001</v>
      </c>
      <c r="E298" s="9" t="n">
        <v>7.481</v>
      </c>
      <c r="F298" s="10" t="n">
        <v>83450.3887920472</v>
      </c>
      <c r="G298" s="10" t="n">
        <v>52267.5592401987</v>
      </c>
      <c r="H298" s="10" t="n">
        <v>84904.9938033747</v>
      </c>
      <c r="I298" s="10" t="n">
        <v>38792.4024117459</v>
      </c>
      <c r="J298" s="10" t="n">
        <v>84177.691297711</v>
      </c>
      <c r="K298" s="11" t="n">
        <v>1.01743077572655</v>
      </c>
      <c r="L298" s="11" t="n">
        <v>0.0249306392940605</v>
      </c>
      <c r="M298" s="11" t="n">
        <v>0.0173076983930485</v>
      </c>
      <c r="N298" s="11" t="n">
        <v>0.0261663083241323</v>
      </c>
      <c r="O298" s="12" t="n">
        <v>0.957512735793826</v>
      </c>
      <c r="P298" s="12" t="n">
        <v>0.96391750325733</v>
      </c>
      <c r="Q298" s="4" t="n">
        <f aca="false">RANK(N298,$N$7:$N$307,0)</f>
        <v>292</v>
      </c>
      <c r="R298" s="4" t="n">
        <f aca="false">RANK(O298,$O$7:$O$307,1)</f>
        <v>299</v>
      </c>
      <c r="S298" s="4" t="n">
        <f aca="false">RANK(J298,$J$7:$J$307,0)</f>
        <v>280</v>
      </c>
      <c r="T298" s="4" t="str">
        <f aca="false">IF(O298&lt;0.05,"YES","no")</f>
        <v>no</v>
      </c>
      <c r="U298" s="4" t="str">
        <f aca="false">IF(P298&lt;0.05,"YES","no")</f>
        <v>no</v>
      </c>
      <c r="V298" s="4" t="str">
        <f aca="false">IF(N298&gt;1,"YES","no")</f>
        <v>no</v>
      </c>
    </row>
    <row r="299" customFormat="false" ht="15" hidden="false" customHeight="false" outlineLevel="0" collapsed="false">
      <c r="A299" s="4" t="s">
        <v>392</v>
      </c>
      <c r="B299" s="4"/>
      <c r="C299" s="4" t="s">
        <v>72</v>
      </c>
      <c r="D299" s="8" t="n">
        <v>404.02579</v>
      </c>
      <c r="E299" s="9" t="n">
        <v>10.524</v>
      </c>
      <c r="F299" s="10" t="n">
        <v>30014.5248645123</v>
      </c>
      <c r="G299" s="10" t="n">
        <v>14452.8623478738</v>
      </c>
      <c r="H299" s="10" t="n">
        <v>24788.8154493393</v>
      </c>
      <c r="I299" s="10" t="n">
        <v>12590.9483776029</v>
      </c>
      <c r="J299" s="10" t="n">
        <v>27401.6701569258</v>
      </c>
      <c r="K299" s="11" t="n">
        <v>0.825893981705117</v>
      </c>
      <c r="L299" s="11" t="n">
        <v>-0.275971497122691</v>
      </c>
      <c r="M299" s="11" t="n">
        <v>0.206617567971857</v>
      </c>
      <c r="N299" s="11" t="n">
        <v>0.0254101468800015</v>
      </c>
      <c r="O299" s="12" t="n">
        <v>0.51965819647617</v>
      </c>
      <c r="P299" s="12" t="n">
        <v>0.625668468557309</v>
      </c>
      <c r="Q299" s="4" t="n">
        <f aca="false">RANK(N299,$N$7:$N$307,0)</f>
        <v>293</v>
      </c>
      <c r="R299" s="4" t="n">
        <f aca="false">RANK(O299,$O$7:$O$307,1)</f>
        <v>250</v>
      </c>
      <c r="S299" s="4" t="n">
        <f aca="false">RANK(J299,$J$7:$J$307,0)</f>
        <v>298</v>
      </c>
      <c r="T299" s="4" t="str">
        <f aca="false">IF(O299&lt;0.05,"YES","no")</f>
        <v>no</v>
      </c>
      <c r="U299" s="4" t="str">
        <f aca="false">IF(P299&lt;0.05,"YES","no")</f>
        <v>no</v>
      </c>
      <c r="V299" s="4" t="str">
        <f aca="false">IF(N299&gt;1,"YES","no")</f>
        <v>no</v>
      </c>
    </row>
    <row r="300" customFormat="false" ht="15" hidden="false" customHeight="false" outlineLevel="0" collapsed="false">
      <c r="A300" s="4" t="s">
        <v>408</v>
      </c>
      <c r="B300" s="4"/>
      <c r="C300" s="4" t="s">
        <v>72</v>
      </c>
      <c r="D300" s="8" t="n">
        <v>241.07306</v>
      </c>
      <c r="E300" s="9" t="n">
        <v>5.008</v>
      </c>
      <c r="F300" s="10" t="n">
        <v>116333.867087938</v>
      </c>
      <c r="G300" s="10" t="n">
        <v>32122.5392066094</v>
      </c>
      <c r="H300" s="10" t="n">
        <v>124413.696239616</v>
      </c>
      <c r="I300" s="10" t="n">
        <v>54396.7691839616</v>
      </c>
      <c r="J300" s="10" t="n">
        <v>120373.781663777</v>
      </c>
      <c r="K300" s="11" t="n">
        <v>1.06945380011798</v>
      </c>
      <c r="L300" s="11" t="n">
        <v>0.0968741601277022</v>
      </c>
      <c r="M300" s="11" t="n">
        <v>0.098587834858419</v>
      </c>
      <c r="N300" s="11" t="n">
        <v>0.0250260427640394</v>
      </c>
      <c r="O300" s="12" t="n">
        <v>0.76196830620382</v>
      </c>
      <c r="P300" s="12" t="n">
        <v>0.843207574144669</v>
      </c>
      <c r="Q300" s="4" t="n">
        <f aca="false">RANK(N300,$N$7:$N$307,0)</f>
        <v>294</v>
      </c>
      <c r="R300" s="4" t="n">
        <f aca="false">RANK(O300,$O$7:$O$307,1)</f>
        <v>272</v>
      </c>
      <c r="S300" s="4" t="n">
        <f aca="false">RANK(J300,$J$7:$J$307,0)</f>
        <v>275</v>
      </c>
      <c r="T300" s="4" t="str">
        <f aca="false">IF(O300&lt;0.05,"YES","no")</f>
        <v>no</v>
      </c>
      <c r="U300" s="4" t="str">
        <f aca="false">IF(P300&lt;0.05,"YES","no")</f>
        <v>no</v>
      </c>
      <c r="V300" s="4" t="str">
        <f aca="false">IF(N300&gt;1,"YES","no")</f>
        <v>no</v>
      </c>
    </row>
    <row r="301" customFormat="false" ht="15" hidden="false" customHeight="false" outlineLevel="0" collapsed="false">
      <c r="A301" s="4" t="s">
        <v>403</v>
      </c>
      <c r="B301" s="4"/>
      <c r="C301" s="4" t="s">
        <v>72</v>
      </c>
      <c r="D301" s="8" t="n">
        <v>159.07763</v>
      </c>
      <c r="E301" s="9" t="n">
        <v>8.636</v>
      </c>
      <c r="F301" s="10" t="n">
        <v>17676.4322765646</v>
      </c>
      <c r="G301" s="10" t="n">
        <v>11641.6702954367</v>
      </c>
      <c r="H301" s="10" t="n">
        <v>29565.7368507402</v>
      </c>
      <c r="I301" s="10" t="n">
        <v>13120.8642773513</v>
      </c>
      <c r="J301" s="10" t="n">
        <v>23621.0845636524</v>
      </c>
      <c r="K301" s="11" t="n">
        <v>1.67260770658672</v>
      </c>
      <c r="L301" s="11" t="n">
        <v>0.742099115354258</v>
      </c>
      <c r="M301" s="11" t="n">
        <v>0.464850019379946</v>
      </c>
      <c r="N301" s="11" t="n">
        <v>0.0227747711219627</v>
      </c>
      <c r="O301" s="12" t="n">
        <v>0.128278685641087</v>
      </c>
      <c r="P301" s="12" t="n">
        <v>0.226152163284773</v>
      </c>
      <c r="Q301" s="4" t="n">
        <f aca="false">RANK(N301,$N$7:$N$307,0)</f>
        <v>295</v>
      </c>
      <c r="R301" s="4" t="n">
        <f aca="false">RANK(O301,$O$7:$O$307,1)</f>
        <v>170</v>
      </c>
      <c r="S301" s="4" t="n">
        <f aca="false">RANK(J301,$J$7:$J$307,0)</f>
        <v>300</v>
      </c>
      <c r="T301" s="4" t="str">
        <f aca="false">IF(O301&lt;0.05,"YES","no")</f>
        <v>no</v>
      </c>
      <c r="U301" s="4" t="str">
        <f aca="false">IF(P301&lt;0.05,"YES","no")</f>
        <v>no</v>
      </c>
      <c r="V301" s="4" t="str">
        <f aca="false">IF(N301&gt;1,"YES","no")</f>
        <v>no</v>
      </c>
    </row>
    <row r="302" customFormat="false" ht="15" hidden="false" customHeight="false" outlineLevel="0" collapsed="false">
      <c r="A302" s="4" t="s">
        <v>389</v>
      </c>
      <c r="B302" s="4"/>
      <c r="C302" s="4" t="s">
        <v>72</v>
      </c>
      <c r="D302" s="8" t="n">
        <v>205.08299</v>
      </c>
      <c r="E302" s="9" t="n">
        <v>8.545</v>
      </c>
      <c r="F302" s="10" t="n">
        <v>31844.945188362</v>
      </c>
      <c r="G302" s="10" t="n">
        <v>17615.3266582949</v>
      </c>
      <c r="H302" s="10" t="n">
        <v>39418.1098515493</v>
      </c>
      <c r="I302" s="10" t="n">
        <v>7846.70116450295</v>
      </c>
      <c r="J302" s="10" t="n">
        <v>35631.5275199556</v>
      </c>
      <c r="K302" s="11" t="n">
        <v>1.23781371324058</v>
      </c>
      <c r="L302" s="11" t="n">
        <v>0.307794210185187</v>
      </c>
      <c r="M302" s="11" t="n">
        <v>0.291030935934436</v>
      </c>
      <c r="N302" s="11" t="n">
        <v>0.0215964662760393</v>
      </c>
      <c r="O302" s="12" t="n">
        <v>0.36851894210953</v>
      </c>
      <c r="P302" s="12" t="n">
        <v>0.488426604410591</v>
      </c>
      <c r="Q302" s="4" t="n">
        <f aca="false">RANK(N302,$N$7:$N$307,0)</f>
        <v>296</v>
      </c>
      <c r="R302" s="4" t="n">
        <f aca="false">RANK(O302,$O$7:$O$307,1)</f>
        <v>227</v>
      </c>
      <c r="S302" s="4" t="n">
        <f aca="false">RANK(J302,$J$7:$J$307,0)</f>
        <v>294</v>
      </c>
      <c r="T302" s="4" t="str">
        <f aca="false">IF(O302&lt;0.05,"YES","no")</f>
        <v>no</v>
      </c>
      <c r="U302" s="4" t="str">
        <f aca="false">IF(P302&lt;0.05,"YES","no")</f>
        <v>no</v>
      </c>
      <c r="V302" s="4" t="str">
        <f aca="false">IF(N302&gt;1,"YES","no")</f>
        <v>no</v>
      </c>
    </row>
    <row r="303" customFormat="false" ht="15" hidden="false" customHeight="false" outlineLevel="0" collapsed="false">
      <c r="A303" s="4" t="s">
        <v>410</v>
      </c>
      <c r="B303" s="4" t="s">
        <v>411</v>
      </c>
      <c r="C303" s="4" t="s">
        <v>72</v>
      </c>
      <c r="D303" s="8" t="n">
        <v>542.06863</v>
      </c>
      <c r="E303" s="9" t="n">
        <v>8.412</v>
      </c>
      <c r="F303" s="10" t="n">
        <v>20438.6646033433</v>
      </c>
      <c r="G303" s="10" t="n">
        <v>4529.35562672063</v>
      </c>
      <c r="H303" s="10" t="n">
        <v>28438.2775535836</v>
      </c>
      <c r="I303" s="10" t="n">
        <v>10377.2463852163</v>
      </c>
      <c r="J303" s="10" t="n">
        <v>24438.4710784634</v>
      </c>
      <c r="K303" s="11" t="n">
        <v>1.39139606747751</v>
      </c>
      <c r="L303" s="11" t="n">
        <v>0.476533148313965</v>
      </c>
      <c r="M303" s="11" t="n">
        <v>0.480074833655244</v>
      </c>
      <c r="N303" s="11" t="n">
        <v>0.0193606891651428</v>
      </c>
      <c r="O303" s="12" t="n">
        <v>0.12815035182835</v>
      </c>
      <c r="P303" s="12" t="n">
        <v>0.226152163284773</v>
      </c>
      <c r="Q303" s="4" t="n">
        <f aca="false">RANK(N303,$N$7:$N$307,0)</f>
        <v>297</v>
      </c>
      <c r="R303" s="4" t="n">
        <f aca="false">RANK(O303,$O$7:$O$307,1)</f>
        <v>169</v>
      </c>
      <c r="S303" s="4" t="n">
        <f aca="false">RANK(J303,$J$7:$J$307,0)</f>
        <v>299</v>
      </c>
      <c r="T303" s="4" t="str">
        <f aca="false">IF(O303&lt;0.05,"YES","no")</f>
        <v>no</v>
      </c>
      <c r="U303" s="4" t="str">
        <f aca="false">IF(P303&lt;0.05,"YES","no")</f>
        <v>no</v>
      </c>
      <c r="V303" s="4" t="str">
        <f aca="false">IF(N303&gt;1,"YES","no")</f>
        <v>no</v>
      </c>
    </row>
    <row r="304" customFormat="false" ht="15" hidden="false" customHeight="false" outlineLevel="0" collapsed="false">
      <c r="A304" s="4" t="s">
        <v>412</v>
      </c>
      <c r="B304" s="4"/>
      <c r="C304" s="4" t="s">
        <v>72</v>
      </c>
      <c r="D304" s="8" t="n">
        <v>219.0986</v>
      </c>
      <c r="E304" s="9" t="n">
        <v>8.148</v>
      </c>
      <c r="F304" s="10" t="n">
        <v>12139.3766687264</v>
      </c>
      <c r="G304" s="10" t="n">
        <v>4282.91752755544</v>
      </c>
      <c r="H304" s="10" t="n">
        <v>14598.2018695479</v>
      </c>
      <c r="I304" s="10" t="n">
        <v>5630.47651707482</v>
      </c>
      <c r="J304" s="10" t="n">
        <v>13368.7892691371</v>
      </c>
      <c r="K304" s="11" t="n">
        <v>1.20254954335143</v>
      </c>
      <c r="L304" s="11" t="n">
        <v>0.266096332228196</v>
      </c>
      <c r="M304" s="11" t="n">
        <v>0.25997092199453</v>
      </c>
      <c r="N304" s="11" t="n">
        <v>0.0134799197899046</v>
      </c>
      <c r="O304" s="12" t="n">
        <v>0.415867412073726</v>
      </c>
      <c r="P304" s="12" t="n">
        <v>0.530924971510783</v>
      </c>
      <c r="Q304" s="4" t="n">
        <f aca="false">RANK(N304,$N$7:$N$307,0)</f>
        <v>298</v>
      </c>
      <c r="R304" s="4" t="n">
        <f aca="false">RANK(O304,$O$7:$O$307,1)</f>
        <v>235</v>
      </c>
      <c r="S304" s="4" t="n">
        <f aca="false">RANK(J304,$J$7:$J$307,0)</f>
        <v>301</v>
      </c>
      <c r="T304" s="4" t="str">
        <f aca="false">IF(O304&lt;0.05,"YES","no")</f>
        <v>no</v>
      </c>
      <c r="U304" s="4" t="str">
        <f aca="false">IF(P304&lt;0.05,"YES","no")</f>
        <v>no</v>
      </c>
      <c r="V304" s="4" t="str">
        <f aca="false">IF(N304&gt;1,"YES","no")</f>
        <v>no</v>
      </c>
    </row>
    <row r="305" customFormat="false" ht="15" hidden="false" customHeight="false" outlineLevel="0" collapsed="false">
      <c r="A305" s="4" t="s">
        <v>396</v>
      </c>
      <c r="B305" s="4"/>
      <c r="C305" s="4" t="s">
        <v>61</v>
      </c>
      <c r="D305" s="8" t="n">
        <v>565.04834</v>
      </c>
      <c r="E305" s="9" t="n">
        <v>9.699</v>
      </c>
      <c r="F305" s="10" t="n">
        <v>35638.967543202</v>
      </c>
      <c r="G305" s="10" t="n">
        <v>15397.3918096304</v>
      </c>
      <c r="H305" s="10" t="n">
        <v>42997.7598787163</v>
      </c>
      <c r="I305" s="10" t="n">
        <v>19076.929887404</v>
      </c>
      <c r="J305" s="10" t="n">
        <v>39318.3637109592</v>
      </c>
      <c r="K305" s="11" t="n">
        <v>1.2064816363323</v>
      </c>
      <c r="L305" s="11" t="n">
        <v>0.270805956685914</v>
      </c>
      <c r="M305" s="11" t="n">
        <v>0.226469048256577</v>
      </c>
      <c r="N305" s="11" t="n">
        <v>0.0127990607486611</v>
      </c>
      <c r="O305" s="12" t="n">
        <v>0.479804677761752</v>
      </c>
      <c r="P305" s="12" t="n">
        <v>0.584701246989018</v>
      </c>
      <c r="Q305" s="4" t="n">
        <f aca="false">RANK(N305,$N$7:$N$307,0)</f>
        <v>299</v>
      </c>
      <c r="R305" s="4" t="n">
        <f aca="false">RANK(O305,$O$7:$O$307,1)</f>
        <v>247</v>
      </c>
      <c r="S305" s="4" t="n">
        <f aca="false">RANK(J305,$J$7:$J$307,0)</f>
        <v>293</v>
      </c>
      <c r="T305" s="4" t="str">
        <f aca="false">IF(O305&lt;0.05,"YES","no")</f>
        <v>no</v>
      </c>
      <c r="U305" s="4" t="str">
        <f aca="false">IF(P305&lt;0.05,"YES","no")</f>
        <v>no</v>
      </c>
      <c r="V305" s="4" t="str">
        <f aca="false">IF(N305&gt;1,"YES","no")</f>
        <v>no</v>
      </c>
    </row>
    <row r="306" customFormat="false" ht="15" hidden="false" customHeight="false" outlineLevel="0" collapsed="false">
      <c r="A306" s="4" t="s">
        <v>407</v>
      </c>
      <c r="B306" s="4"/>
      <c r="C306" s="4" t="s">
        <v>72</v>
      </c>
      <c r="D306" s="8" t="n">
        <v>316.24812</v>
      </c>
      <c r="E306" s="9" t="n">
        <v>6.846</v>
      </c>
      <c r="F306" s="10" t="n">
        <v>148710.155287589</v>
      </c>
      <c r="G306" s="10" t="n">
        <v>110550.248452864</v>
      </c>
      <c r="H306" s="10" t="n">
        <v>138508.956560218</v>
      </c>
      <c r="I306" s="10" t="n">
        <v>73348.0657428568</v>
      </c>
      <c r="J306" s="10" t="n">
        <v>143609.555923904</v>
      </c>
      <c r="K306" s="11" t="n">
        <v>0.931402137885995</v>
      </c>
      <c r="L306" s="11" t="n">
        <v>-0.102523901247499</v>
      </c>
      <c r="M306" s="11" t="n">
        <v>0.0594546141177732</v>
      </c>
      <c r="N306" s="11" t="n">
        <v>0.00985986320469113</v>
      </c>
      <c r="O306" s="12" t="n">
        <v>0.854931929095272</v>
      </c>
      <c r="P306" s="12" t="n">
        <v>0.915781176717711</v>
      </c>
      <c r="Q306" s="4" t="n">
        <f aca="false">RANK(N306,$N$7:$N$307,0)</f>
        <v>300</v>
      </c>
      <c r="R306" s="4" t="n">
        <f aca="false">RANK(O306,$O$7:$O$307,1)</f>
        <v>281</v>
      </c>
      <c r="S306" s="4" t="n">
        <f aca="false">RANK(J306,$J$7:$J$307,0)</f>
        <v>268</v>
      </c>
      <c r="T306" s="4" t="str">
        <f aca="false">IF(O306&lt;0.05,"YES","no")</f>
        <v>no</v>
      </c>
      <c r="U306" s="4" t="str">
        <f aca="false">IF(P306&lt;0.05,"YES","no")</f>
        <v>no</v>
      </c>
      <c r="V306" s="4" t="str">
        <f aca="false">IF(N306&gt;1,"YES","no")</f>
        <v>no</v>
      </c>
    </row>
    <row r="307" customFormat="false" ht="15" hidden="false" customHeight="false" outlineLevel="0" collapsed="false">
      <c r="A307" s="4" t="s">
        <v>400</v>
      </c>
      <c r="B307" s="4"/>
      <c r="C307" s="4" t="s">
        <v>72</v>
      </c>
      <c r="D307" s="8" t="n">
        <v>209.06786</v>
      </c>
      <c r="E307" s="9" t="n">
        <v>4.923</v>
      </c>
      <c r="F307" s="10" t="n">
        <v>29056.1246499325</v>
      </c>
      <c r="G307" s="10" t="n">
        <v>17528.9882519976</v>
      </c>
      <c r="H307" s="10" t="n">
        <v>31232.1044533447</v>
      </c>
      <c r="I307" s="10" t="n">
        <v>14019.3089081187</v>
      </c>
      <c r="J307" s="10" t="n">
        <v>30144.1145516386</v>
      </c>
      <c r="K307" s="11" t="n">
        <v>1.07488885147722</v>
      </c>
      <c r="L307" s="11" t="n">
        <v>0.104187486128238</v>
      </c>
      <c r="M307" s="11" t="n">
        <v>0.0748820254433561</v>
      </c>
      <c r="N307" s="11" t="n">
        <v>0.00643233310293332</v>
      </c>
      <c r="O307" s="12" t="n">
        <v>0.817318496585346</v>
      </c>
      <c r="P307" s="12" t="n">
        <v>0.891350969102134</v>
      </c>
      <c r="Q307" s="4" t="n">
        <f aca="false">RANK(N307,$N$7:$N$307,0)</f>
        <v>301</v>
      </c>
      <c r="R307" s="4" t="n">
        <f aca="false">RANK(O307,$O$7:$O$307,1)</f>
        <v>276</v>
      </c>
      <c r="S307" s="4" t="n">
        <f aca="false">RANK(J307,$J$7:$J$307,0)</f>
        <v>295</v>
      </c>
      <c r="T307" s="4" t="str">
        <f aca="false">IF(O307&lt;0.05,"YES","no")</f>
        <v>no</v>
      </c>
      <c r="U307" s="4" t="str">
        <f aca="false">IF(P307&lt;0.05,"YES","no")</f>
        <v>no</v>
      </c>
      <c r="V307" s="4" t="str">
        <f aca="false">IF(N307&gt;1,"YES","no")</f>
        <v>no</v>
      </c>
    </row>
  </sheetData>
  <autoFilter ref="A6:V307"/>
  <conditionalFormatting sqref="O7:O307">
    <cfRule type="cellIs" priority="2" operator="lessThan" aboveAverage="0" equalAverage="0" bottom="0" percent="0" rank="0" text="" dxfId="5">
      <formula>0.05</formula>
    </cfRule>
  </conditionalFormatting>
  <conditionalFormatting sqref="P7:P307">
    <cfRule type="cellIs" priority="3" operator="lessThan" aboveAverage="0" equalAverage="0" bottom="0" percent="0" rank="0" text="" dxfId="6">
      <formula>0.05</formula>
    </cfRule>
  </conditionalFormatting>
  <conditionalFormatting sqref="N7:N307">
    <cfRule type="cellIs" priority="4" operator="greaterThan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2026-08-31T17:19:59Z</dcterms:created>
  <dc:creator>openpyxl</dc:creator>
  <dc:description/>
  <dc:language>en-US</dc:language>
  <cp:lastModifiedBy/>
  <dcterms:modified xsi:type="dcterms:W3CDTF">2026-08-31T17:20:13Z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